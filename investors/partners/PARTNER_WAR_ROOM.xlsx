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PARTNER CRM" sheetId="1" state="visible" r:id="rId1"/>
    <sheet xmlns:r="http://schemas.openxmlformats.org/officeDocument/2006/relationships" name="02 TARGET LIST" sheetId="2" state="visible" r:id="rId2"/>
    <sheet xmlns:r="http://schemas.openxmlformats.org/officeDocument/2006/relationships" name="03 PIPELINE &amp; KPIs" sheetId="3" state="visible" r:id="rId3"/>
    <sheet xmlns:r="http://schemas.openxmlformats.org/officeDocument/2006/relationships" name="04 DASHBOARD" sheetId="4" state="visible" r:id="rId4"/>
  </sheets>
  <definedNames>
    <definedName name="_xlnm._FilterDatabase" localSheetId="0" hidden="1">'01 PARTNER CRM'!$A$1:$Z$77</definedName>
    <definedName name="_xlnm._FilterDatabase" localSheetId="1" hidden="1">'02 TARGET LIST'!$A$1:$M$76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8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0" customWidth="1" min="5" max="5"/>
    <col width="18" customWidth="1" min="6" max="6"/>
    <col width="18" customWidth="1" min="7" max="7"/>
    <col width="18" customWidth="1" min="8" max="8"/>
    <col width="18" customWidth="1" min="9" max="9"/>
    <col width="30" customWidth="1" min="10" max="10"/>
    <col width="18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30" customWidth="1" min="18" max="18"/>
    <col width="18" customWidth="1" min="19" max="19"/>
    <col width="30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30" customWidth="1" min="26" max="26"/>
  </cols>
  <sheetData>
    <row r="1">
      <c r="A1" s="1" t="inlineStr">
        <is>
          <t>Organisation</t>
        </is>
      </c>
      <c r="B1" s="1" t="inlineStr">
        <is>
          <t>Country</t>
        </is>
      </c>
      <c r="C1" s="1" t="inlineStr">
        <is>
          <t>Category</t>
        </is>
      </c>
      <c r="D1" s="1" t="inlineStr">
        <is>
          <t>Partner Tier</t>
        </is>
      </c>
      <c r="E1" s="1" t="inlineStr">
        <is>
          <t>Decision Maker</t>
        </is>
      </c>
      <c r="F1" s="1" t="inlineStr">
        <is>
          <t>Job Title</t>
        </is>
      </c>
      <c r="G1" s="1" t="inlineStr">
        <is>
          <t>LinkedIn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Relationship Status</t>
        </is>
      </c>
      <c r="K1" s="1" t="inlineStr">
        <is>
          <t>Priority</t>
        </is>
      </c>
      <c r="L1" s="1" t="inlineStr">
        <is>
          <t>Strategic Value</t>
        </is>
      </c>
      <c r="M1" s="1" t="inlineStr">
        <is>
          <t>What We Want</t>
        </is>
      </c>
      <c r="N1" s="1" t="inlineStr">
        <is>
          <t>What We Offer</t>
        </is>
      </c>
      <c r="O1" s="1" t="inlineStr">
        <is>
          <t>Last Contact</t>
        </is>
      </c>
      <c r="P1" s="1" t="inlineStr">
        <is>
          <t>Next Action</t>
        </is>
      </c>
      <c r="Q1" s="1" t="inlineStr">
        <is>
          <t>Meeting Date</t>
        </is>
      </c>
      <c r="R1" s="1" t="inlineStr">
        <is>
          <t>Partnership Stage</t>
        </is>
      </c>
      <c r="S1" s="1" t="inlineStr">
        <is>
          <t>Probability</t>
        </is>
      </c>
      <c r="T1" s="1" t="inlineStr">
        <is>
          <t>Potential Value (£)</t>
        </is>
      </c>
      <c r="U1" s="1" t="inlineStr">
        <is>
          <t>Notes</t>
        </is>
      </c>
      <c r="V1" s="1" t="inlineStr">
        <is>
          <t>Source</t>
        </is>
      </c>
      <c r="W1" s="1" t="inlineStr">
        <is>
          <t>Owner</t>
        </is>
      </c>
      <c r="X1" s="1" t="inlineStr">
        <is>
          <t>NDA Status</t>
        </is>
      </c>
      <c r="Y1" s="1" t="inlineStr">
        <is>
          <t>Instrument</t>
        </is>
      </c>
      <c r="Z1" s="1" t="inlineStr">
        <is>
          <t>Consent to contact (basis)</t>
        </is>
      </c>
    </row>
    <row r="2">
      <c r="A2" t="inlineStr">
        <is>
          <t>Oxford University Hospitals NHS FT (maternity)</t>
        </is>
      </c>
      <c r="B2" t="inlineStr">
        <is>
          <t>UK</t>
        </is>
      </c>
      <c r="C2" t="inlineStr">
        <is>
          <t>NHS trust</t>
        </is>
      </c>
      <c r="D2" t="inlineStr">
        <is>
          <t>1 Foundational</t>
        </is>
      </c>
      <c r="E2" t="inlineStr">
        <is>
          <t>NOT YET IDENTIFIED (title known)</t>
        </is>
      </c>
      <c r="F2" t="inlineStr">
        <is>
          <t>Consultant Obstetrician, Clinical Lead for Hypertension in Pregnancy; Head of Midwifery; Digital Midwife</t>
        </is>
      </c>
      <c r="J2" t="inlineStr">
        <is>
          <t>Cold</t>
        </is>
      </c>
      <c r="K2" t="inlineStr">
        <is>
          <t>9</t>
        </is>
      </c>
      <c r="M2" t="inlineStr">
        <is>
          <t>Service evaluation site; obstetric hypertension lead; 100–150 women</t>
        </is>
      </c>
      <c r="N2" t="inlineStr">
        <is>
          <t>No-fee evaluation, safety artefacts, co-authorship</t>
        </is>
      </c>
      <c r="P2" t="inlineStr">
        <is>
          <t>Via Health Innovation Oxford &amp; Thames Valley introduction; reference the BUMP evidence honestly</t>
        </is>
      </c>
      <c r="R2" t="inlineStr">
        <is>
          <t>RESEARCHED</t>
        </is>
      </c>
      <c r="S2" t="inlineStr">
        <is>
          <t>10%</t>
        </is>
      </c>
      <c r="V2" t="inlineStr">
        <is>
          <t>Public trust; verify current leads</t>
        </is>
      </c>
      <c r="W2" t="inlineStr">
        <is>
          <t>Founder</t>
        </is>
      </c>
      <c r="X2" t="inlineStr">
        <is>
          <t>None</t>
        </is>
      </c>
      <c r="Y2" t="inlineStr">
        <is>
          <t>Service evaluation → licence</t>
        </is>
      </c>
      <c r="Z2" t="inlineStr">
        <is>
          <t>Legitimate interest (B2B professional role) — TO VALIDATE</t>
        </is>
      </c>
    </row>
    <row r="3">
      <c r="A3" t="inlineStr">
        <is>
          <t>University of Oxford, Nuffield Department of Primary Care Health Sciences (self-monitoring BP research)</t>
        </is>
      </c>
      <c r="B3" t="inlineStr">
        <is>
          <t>UK</t>
        </is>
      </c>
      <c r="C3" t="inlineStr">
        <is>
          <t>University research group</t>
        </is>
      </c>
      <c r="D3" t="inlineStr">
        <is>
          <t>1 Foundational</t>
        </is>
      </c>
      <c r="E3" t="inlineStr">
        <is>
          <t>NOT YET IDENTIFIED (title known)</t>
        </is>
      </c>
      <c r="F3" t="inlineStr">
        <is>
          <t>Professor of Primary Care Research leading the BP self-monitoring programme; senior researcher on BUMP</t>
        </is>
      </c>
      <c r="J3" t="inlineStr">
        <is>
          <t>Cold</t>
        </is>
      </c>
      <c r="K3" t="inlineStr">
        <is>
          <t>10</t>
        </is>
      </c>
      <c r="M3" t="inlineStr">
        <is>
          <t>Evaluation partner; ethics sponsor; design of feasibility study</t>
        </is>
      </c>
      <c r="N3" t="inlineStr">
        <is>
          <t>Prospective data; co-investigator role; grant co-bids</t>
        </is>
      </c>
      <c r="P3" t="inlineStr">
        <is>
          <t>Email citing BUMP findings and asking to design what happens after the reading</t>
        </is>
      </c>
      <c r="R3" t="inlineStr">
        <is>
          <t>RESEARCHED</t>
        </is>
      </c>
      <c r="S3" t="inlineStr">
        <is>
          <t>10%</t>
        </is>
      </c>
      <c r="V3" t="inlineStr">
        <is>
          <t>Public academic group</t>
        </is>
      </c>
      <c r="W3" t="inlineStr">
        <is>
          <t>Founder</t>
        </is>
      </c>
      <c r="X3" t="inlineStr">
        <is>
          <t>None</t>
        </is>
      </c>
      <c r="Y3" t="inlineStr">
        <is>
          <t>Research collaboration</t>
        </is>
      </c>
      <c r="Z3" t="inlineStr">
        <is>
          <t>Legitimate interest (B2B professional role) — TO VALIDATE</t>
        </is>
      </c>
    </row>
    <row r="4">
      <c r="A4" t="inlineStr">
        <is>
          <t>National Perinatal Epidemiology Unit (NPEU), University of Oxford (MBRRACE-UK)</t>
        </is>
      </c>
      <c r="B4" t="inlineStr">
        <is>
          <t>UK</t>
        </is>
      </c>
      <c r="C4" t="inlineStr">
        <is>
          <t>Research / data</t>
        </is>
      </c>
      <c r="D4" t="inlineStr">
        <is>
          <t>4 Data</t>
        </is>
      </c>
      <c r="E4" t="inlineStr">
        <is>
          <t>NOT YET IDENTIFIED (title known)</t>
        </is>
      </c>
      <c r="F4" t="inlineStr">
        <is>
          <t>Director of NPEU; MBRRACE-UK lead</t>
        </is>
      </c>
      <c r="J4" t="inlineStr">
        <is>
          <t>Cold</t>
        </is>
      </c>
      <c r="K4" t="inlineStr">
        <is>
          <t>9</t>
        </is>
      </c>
      <c r="M4" t="inlineStr">
        <is>
          <t>Methods advice; equity indicator alignment; later data linkage</t>
        </is>
      </c>
      <c r="N4" t="inlineStr">
        <is>
          <t>Continuous continuity data; equity reporting aligned to their framework</t>
        </is>
      </c>
      <c r="P4" t="inlineStr">
        <is>
          <t>Warm intro via Oxford; propose an equity-indicator workshop</t>
        </is>
      </c>
      <c r="R4" t="inlineStr">
        <is>
          <t>RESEARCHED</t>
        </is>
      </c>
      <c r="S4" t="inlineStr">
        <is>
          <t>10%</t>
        </is>
      </c>
      <c r="V4" t="inlineStr">
        <is>
          <t>Public body</t>
        </is>
      </c>
      <c r="W4" t="inlineStr">
        <is>
          <t>Founder</t>
        </is>
      </c>
      <c r="X4" t="inlineStr">
        <is>
          <t>None</t>
        </is>
      </c>
      <c r="Y4" t="inlineStr">
        <is>
          <t>Research collaboration</t>
        </is>
      </c>
      <c r="Z4" t="inlineStr">
        <is>
          <t>Legitimate interest (B2B professional role) — TO VALIDATE</t>
        </is>
      </c>
    </row>
    <row r="5">
      <c r="A5" t="inlineStr">
        <is>
          <t>Guy's and St Thomas' NHS FT (maternity)</t>
        </is>
      </c>
      <c r="B5" t="inlineStr">
        <is>
          <t>UK</t>
        </is>
      </c>
      <c r="C5" t="inlineStr">
        <is>
          <t>NHS trust</t>
        </is>
      </c>
      <c r="D5" t="inlineStr">
        <is>
          <t>3 Clinical</t>
        </is>
      </c>
      <c r="E5" t="inlineStr">
        <is>
          <t>NOT YET IDENTIFIED (title known)</t>
        </is>
      </c>
      <c r="F5" t="inlineStr">
        <is>
          <t>Clinical Director for Women's Services; Digital Midwife</t>
        </is>
      </c>
      <c r="J5" t="inlineStr">
        <is>
          <t>Cold</t>
        </is>
      </c>
      <c r="K5" t="inlineStr">
        <is>
          <t>8</t>
        </is>
      </c>
      <c r="M5" t="inlineStr">
        <is>
          <t>Second evaluation site</t>
        </is>
      </c>
      <c r="N5" t="inlineStr">
        <is>
          <t>Evaluation, equity reporting</t>
        </is>
      </c>
      <c r="P5" t="inlineStr">
        <is>
          <t>Via Health Innovation Network South London</t>
        </is>
      </c>
      <c r="R5" t="inlineStr">
        <is>
          <t>RESEARCHED</t>
        </is>
      </c>
      <c r="S5" t="inlineStr">
        <is>
          <t>10%</t>
        </is>
      </c>
      <c r="W5" t="inlineStr">
        <is>
          <t>Founder</t>
        </is>
      </c>
      <c r="X5" t="inlineStr">
        <is>
          <t>None</t>
        </is>
      </c>
      <c r="Y5" t="inlineStr">
        <is>
          <t>Service evaluation</t>
        </is>
      </c>
      <c r="Z5" t="inlineStr">
        <is>
          <t>Legitimate interest (B2B professional role) — TO VALIDATE</t>
        </is>
      </c>
    </row>
    <row r="6">
      <c r="A6" t="inlineStr">
        <is>
          <t>King's College Hospital NHS FT + King's College London Dept of Women &amp; Children's Health</t>
        </is>
      </c>
      <c r="B6" t="inlineStr">
        <is>
          <t>UK</t>
        </is>
      </c>
      <c r="C6" t="inlineStr">
        <is>
          <t>NHS trust + university</t>
        </is>
      </c>
      <c r="D6" t="inlineStr">
        <is>
          <t>1 Foundational</t>
        </is>
      </c>
      <c r="E6" t="inlineStr">
        <is>
          <t>NOT YET IDENTIFIED (title known)</t>
        </is>
      </c>
      <c r="F6" t="inlineStr">
        <is>
          <t>Professor of Obstetrics/Maternal Health; Head of Department; Clinical Lead for Maternal Medicine</t>
        </is>
      </c>
      <c r="J6" t="inlineStr">
        <is>
          <t>Cold</t>
        </is>
      </c>
      <c r="K6" t="inlineStr">
        <is>
          <t>9</t>
        </is>
      </c>
      <c r="M6" t="inlineStr">
        <is>
          <t>Research partner and site</t>
        </is>
      </c>
      <c r="N6" t="inlineStr">
        <is>
          <t>Cohort design; data; co-authorship</t>
        </is>
      </c>
      <c r="P6" t="inlineStr">
        <is>
          <t>Approach the department's maternal-health digital or pre-eclampsia lead with the equity design</t>
        </is>
      </c>
      <c r="R6" t="inlineStr">
        <is>
          <t>RESEARCHED</t>
        </is>
      </c>
      <c r="S6" t="inlineStr">
        <is>
          <t>10%</t>
        </is>
      </c>
      <c r="W6" t="inlineStr">
        <is>
          <t>Founder</t>
        </is>
      </c>
      <c r="X6" t="inlineStr">
        <is>
          <t>None</t>
        </is>
      </c>
      <c r="Y6" t="inlineStr">
        <is>
          <t>Research + service evaluation</t>
        </is>
      </c>
      <c r="Z6" t="inlineStr">
        <is>
          <t>Legitimate interest (B2B professional role) — TO VALIDATE</t>
        </is>
      </c>
    </row>
    <row r="7">
      <c r="A7" t="inlineStr">
        <is>
          <t>Imperial College Healthcare NHS Trust + Imperial College London</t>
        </is>
      </c>
      <c r="B7" t="inlineStr">
        <is>
          <t>UK</t>
        </is>
      </c>
      <c r="C7" t="inlineStr">
        <is>
          <t>NHS trust + university</t>
        </is>
      </c>
      <c r="D7" t="inlineStr">
        <is>
          <t>3 Clinical</t>
        </is>
      </c>
      <c r="E7" t="inlineStr">
        <is>
          <t>NOT YET IDENTIFIED (title known)</t>
        </is>
      </c>
      <c r="F7" t="inlineStr">
        <is>
          <t>Consultant Obstetrician (Maternal Medicine); Head of Midwifery</t>
        </is>
      </c>
      <c r="J7" t="inlineStr">
        <is>
          <t>Cold</t>
        </is>
      </c>
      <c r="K7" t="inlineStr">
        <is>
          <t>7</t>
        </is>
      </c>
      <c r="M7" t="inlineStr">
        <is>
          <t>Site and research input</t>
        </is>
      </c>
      <c r="N7" t="inlineStr">
        <is>
          <t>Evaluation; data</t>
        </is>
      </c>
      <c r="P7" t="inlineStr">
        <is>
          <t>Via Imperial's innovation office</t>
        </is>
      </c>
      <c r="R7" t="inlineStr">
        <is>
          <t>RESEARCHED</t>
        </is>
      </c>
      <c r="S7" t="inlineStr">
        <is>
          <t>10%</t>
        </is>
      </c>
      <c r="W7" t="inlineStr">
        <is>
          <t>Founder</t>
        </is>
      </c>
      <c r="X7" t="inlineStr">
        <is>
          <t>None</t>
        </is>
      </c>
      <c r="Y7" t="inlineStr">
        <is>
          <t>Service evaluation</t>
        </is>
      </c>
      <c r="Z7" t="inlineStr">
        <is>
          <t>Legitimate interest (B2B professional role) — TO VALIDATE</t>
        </is>
      </c>
    </row>
    <row r="8">
      <c r="A8" t="inlineStr">
        <is>
          <t>Birmingham Women's and Children's NHS FT</t>
        </is>
      </c>
      <c r="B8" t="inlineStr">
        <is>
          <t>UK</t>
        </is>
      </c>
      <c r="C8" t="inlineStr">
        <is>
          <t>NHS trust</t>
        </is>
      </c>
      <c r="D8" t="inlineStr">
        <is>
          <t>3 Clinical</t>
        </is>
      </c>
      <c r="E8" t="inlineStr">
        <is>
          <t>NOT YET IDENTIFIED (title known)</t>
        </is>
      </c>
      <c r="F8" t="inlineStr">
        <is>
          <t>Chief Medical Officer; Head of Midwifery</t>
        </is>
      </c>
      <c r="J8" t="inlineStr">
        <is>
          <t>Cold</t>
        </is>
      </c>
      <c r="K8" t="inlineStr">
        <is>
          <t>8</t>
        </is>
      </c>
      <c r="M8" t="inlineStr">
        <is>
          <t>Evaluation site</t>
        </is>
      </c>
      <c r="N8" t="inlineStr">
        <is>
          <t>Equity reporting; virtual ward</t>
        </is>
      </c>
      <c r="P8" t="inlineStr">
        <is>
          <t>Via Health Innovation West Midlands</t>
        </is>
      </c>
      <c r="R8" t="inlineStr">
        <is>
          <t>RESEARCHED</t>
        </is>
      </c>
      <c r="S8" t="inlineStr">
        <is>
          <t>10%</t>
        </is>
      </c>
      <c r="W8" t="inlineStr">
        <is>
          <t>Founder</t>
        </is>
      </c>
      <c r="X8" t="inlineStr">
        <is>
          <t>None</t>
        </is>
      </c>
      <c r="Y8" t="inlineStr">
        <is>
          <t>Service evaluation</t>
        </is>
      </c>
      <c r="Z8" t="inlineStr">
        <is>
          <t>Legitimate interest (B2B professional role) — TO VALIDATE</t>
        </is>
      </c>
    </row>
    <row r="9">
      <c r="A9" t="inlineStr">
        <is>
          <t>Liverpool Women's NHS FT + University of Liverpool (Centre for Women's Health Research)</t>
        </is>
      </c>
      <c r="B9" t="inlineStr">
        <is>
          <t>UK</t>
        </is>
      </c>
      <c r="C9" t="inlineStr">
        <is>
          <t>NHS trust + university</t>
        </is>
      </c>
      <c r="D9" t="inlineStr">
        <is>
          <t>3 Clinical</t>
        </is>
      </c>
      <c r="E9" t="inlineStr">
        <is>
          <t>NOT YET IDENTIFIED (title known)</t>
        </is>
      </c>
      <c r="F9" t="inlineStr">
        <is>
          <t>Director of Research; Consultant Obstetrician</t>
        </is>
      </c>
      <c r="J9" t="inlineStr">
        <is>
          <t>Cold</t>
        </is>
      </c>
      <c r="K9" t="inlineStr">
        <is>
          <t>7</t>
        </is>
      </c>
      <c r="M9" t="inlineStr">
        <is>
          <t>Site and research</t>
        </is>
      </c>
      <c r="N9" t="inlineStr">
        <is>
          <t>Evaluation; data</t>
        </is>
      </c>
      <c r="P9" t="inlineStr">
        <is>
          <t>Via the research centre director</t>
        </is>
      </c>
      <c r="R9" t="inlineStr">
        <is>
          <t>RESEARCHED</t>
        </is>
      </c>
      <c r="S9" t="inlineStr">
        <is>
          <t>10%</t>
        </is>
      </c>
      <c r="W9" t="inlineStr">
        <is>
          <t>Founder</t>
        </is>
      </c>
      <c r="X9" t="inlineStr">
        <is>
          <t>None</t>
        </is>
      </c>
      <c r="Y9" t="inlineStr">
        <is>
          <t>Service evaluation + research</t>
        </is>
      </c>
      <c r="Z9" t="inlineStr">
        <is>
          <t>Legitimate interest (B2B professional role) — TO VALIDATE</t>
        </is>
      </c>
    </row>
    <row r="10">
      <c r="A10" t="inlineStr">
        <is>
          <t>Manchester University NHS FT (Saint Mary's) + Tommy's Manchester Research Centre</t>
        </is>
      </c>
      <c r="B10" t="inlineStr">
        <is>
          <t>UK</t>
        </is>
      </c>
      <c r="C10" t="inlineStr">
        <is>
          <t>NHS trust + research</t>
        </is>
      </c>
      <c r="D10" t="inlineStr">
        <is>
          <t>3 Clinical</t>
        </is>
      </c>
      <c r="E10" t="inlineStr">
        <is>
          <t>NOT YET IDENTIFIED (title known)</t>
        </is>
      </c>
      <c r="F10" t="inlineStr">
        <is>
          <t>Clinical Head of Division (Obstetrics); Tommy's centre director</t>
        </is>
      </c>
      <c r="J10" t="inlineStr">
        <is>
          <t>Cold</t>
        </is>
      </c>
      <c r="K10" t="inlineStr">
        <is>
          <t>7</t>
        </is>
      </c>
      <c r="M10" t="inlineStr">
        <is>
          <t>Site; research input</t>
        </is>
      </c>
      <c r="N10" t="inlineStr">
        <is>
          <t>Evaluation</t>
        </is>
      </c>
      <c r="P10" t="inlineStr">
        <is>
          <t>Via Health Innovation Manchester</t>
        </is>
      </c>
      <c r="R10" t="inlineStr">
        <is>
          <t>RESEARCHED</t>
        </is>
      </c>
      <c r="S10" t="inlineStr">
        <is>
          <t>10%</t>
        </is>
      </c>
      <c r="W10" t="inlineStr">
        <is>
          <t>Founder</t>
        </is>
      </c>
      <c r="X10" t="inlineStr">
        <is>
          <t>None</t>
        </is>
      </c>
      <c r="Y10" t="inlineStr">
        <is>
          <t>Service evaluation</t>
        </is>
      </c>
      <c r="Z10" t="inlineStr">
        <is>
          <t>Legitimate interest (B2B professional role) — TO VALIDATE</t>
        </is>
      </c>
    </row>
    <row r="11">
      <c r="A11" t="inlineStr">
        <is>
          <t>Leeds Teaching Hospitals NHS Trust (maternity)</t>
        </is>
      </c>
      <c r="B11" t="inlineStr">
        <is>
          <t>UK</t>
        </is>
      </c>
      <c r="C11" t="inlineStr">
        <is>
          <t>NHS trust</t>
        </is>
      </c>
      <c r="D11" t="inlineStr">
        <is>
          <t>3 Clinical</t>
        </is>
      </c>
      <c r="E11" t="inlineStr">
        <is>
          <t>NOT YET IDENTIFIED (title known)</t>
        </is>
      </c>
      <c r="F11" t="inlineStr">
        <is>
          <t>Head of Midwifery; Digital Midwife</t>
        </is>
      </c>
      <c r="J11" t="inlineStr">
        <is>
          <t>Cold</t>
        </is>
      </c>
      <c r="K11" t="inlineStr">
        <is>
          <t>6</t>
        </is>
      </c>
      <c r="M11" t="inlineStr">
        <is>
          <t>Evaluation site</t>
        </is>
      </c>
      <c r="N11" t="inlineStr">
        <is>
          <t>Virtual ward</t>
        </is>
      </c>
      <c r="P11" t="inlineStr">
        <is>
          <t>Via Health Innovation Yorkshire &amp; Humber</t>
        </is>
      </c>
      <c r="R11" t="inlineStr">
        <is>
          <t>RESEARCHED</t>
        </is>
      </c>
      <c r="S11" t="inlineStr">
        <is>
          <t>10%</t>
        </is>
      </c>
      <c r="W11" t="inlineStr">
        <is>
          <t>Founder</t>
        </is>
      </c>
      <c r="X11" t="inlineStr">
        <is>
          <t>None</t>
        </is>
      </c>
      <c r="Y11" t="inlineStr">
        <is>
          <t>Service evaluation</t>
        </is>
      </c>
      <c r="Z11" t="inlineStr">
        <is>
          <t>Legitimate interest (B2B professional role) — TO VALIDATE</t>
        </is>
      </c>
    </row>
    <row r="12">
      <c r="A12" t="inlineStr">
        <is>
          <t>UCLH + UCL Institute for Women's Health</t>
        </is>
      </c>
      <c r="B12" t="inlineStr">
        <is>
          <t>UK</t>
        </is>
      </c>
      <c r="C12" t="inlineStr">
        <is>
          <t>NHS trust + university</t>
        </is>
      </c>
      <c r="D12" t="inlineStr">
        <is>
          <t>3 Clinical</t>
        </is>
      </c>
      <c r="E12" t="inlineStr">
        <is>
          <t>NOT YET IDENTIFIED (title known)</t>
        </is>
      </c>
      <c r="F12" t="inlineStr">
        <is>
          <t>Institute Director; Professor of Maternal and Fetal Medicine</t>
        </is>
      </c>
      <c r="J12" t="inlineStr">
        <is>
          <t>Cold</t>
        </is>
      </c>
      <c r="K12" t="inlineStr">
        <is>
          <t>7</t>
        </is>
      </c>
      <c r="M12" t="inlineStr">
        <is>
          <t>Research partner</t>
        </is>
      </c>
      <c r="N12" t="inlineStr">
        <is>
          <t>Data; co-authorship</t>
        </is>
      </c>
      <c r="P12" t="inlineStr">
        <is>
          <t>Approach institute innovation lead</t>
        </is>
      </c>
      <c r="R12" t="inlineStr">
        <is>
          <t>RESEARCHED</t>
        </is>
      </c>
      <c r="S12" t="inlineStr">
        <is>
          <t>10%</t>
        </is>
      </c>
      <c r="W12" t="inlineStr">
        <is>
          <t>Founder</t>
        </is>
      </c>
      <c r="X12" t="inlineStr">
        <is>
          <t>None</t>
        </is>
      </c>
      <c r="Y12" t="inlineStr">
        <is>
          <t>Research</t>
        </is>
      </c>
      <c r="Z12" t="inlineStr">
        <is>
          <t>Legitimate interest (B2B professional role) — TO VALIDATE</t>
        </is>
      </c>
    </row>
    <row r="13">
      <c r="A13" t="inlineStr">
        <is>
          <t>Health Innovation Oxford &amp; Thames Valley</t>
        </is>
      </c>
      <c r="B13" t="inlineStr">
        <is>
          <t>UK</t>
        </is>
      </c>
      <c r="C13" t="inlineStr">
        <is>
          <t>Health Innovation Network</t>
        </is>
      </c>
      <c r="D13" t="inlineStr">
        <is>
          <t>5 Commercial</t>
        </is>
      </c>
      <c r="E13" t="inlineStr">
        <is>
          <t>NOT YET IDENTIFIED (title known)</t>
        </is>
      </c>
      <c r="F13" t="inlineStr">
        <is>
          <t>Innovation Exchange Lead / Programme Manager (Maternity or Patient Safety)</t>
        </is>
      </c>
      <c r="J13" t="inlineStr">
        <is>
          <t>Cold</t>
        </is>
      </c>
      <c r="K13" t="inlineStr">
        <is>
          <t>10</t>
        </is>
      </c>
      <c r="M13" t="inlineStr">
        <is>
          <t>Introductions to trusts; navigation support</t>
        </is>
      </c>
      <c r="N13" t="inlineStr">
        <is>
          <t>A well-governed evaluation for their portfolio</t>
        </is>
      </c>
      <c r="P13" t="inlineStr">
        <is>
          <t>Email with intended-use statement and evaluation concept; ask for the two-trust question</t>
        </is>
      </c>
      <c r="R13" t="inlineStr">
        <is>
          <t>RESEARCHED</t>
        </is>
      </c>
      <c r="S13" t="inlineStr">
        <is>
          <t>10%</t>
        </is>
      </c>
      <c r="W13" t="inlineStr">
        <is>
          <t>Founder</t>
        </is>
      </c>
      <c r="X13" t="inlineStr">
        <is>
          <t>None</t>
        </is>
      </c>
      <c r="Y13" t="inlineStr">
        <is>
          <t>Support agreement</t>
        </is>
      </c>
      <c r="Z13" t="inlineStr">
        <is>
          <t>Legitimate interest (B2B professional role) — TO VALIDATE</t>
        </is>
      </c>
    </row>
    <row r="14">
      <c r="A14" t="inlineStr">
        <is>
          <t>Health Innovation Network South London</t>
        </is>
      </c>
      <c r="B14" t="inlineStr">
        <is>
          <t>UK</t>
        </is>
      </c>
      <c r="C14" t="inlineStr">
        <is>
          <t>Health Innovation Network</t>
        </is>
      </c>
      <c r="D14" t="inlineStr">
        <is>
          <t>5 Commercial</t>
        </is>
      </c>
      <c r="E14" t="inlineStr">
        <is>
          <t>NOT YET IDENTIFIED (title known)</t>
        </is>
      </c>
      <c r="F14" t="inlineStr">
        <is>
          <t>Head of Innovation / Maternity Programme Lead</t>
        </is>
      </c>
      <c r="J14" t="inlineStr">
        <is>
          <t>Cold</t>
        </is>
      </c>
      <c r="K14" t="inlineStr">
        <is>
          <t>9</t>
        </is>
      </c>
      <c r="M14" t="inlineStr">
        <is>
          <t>Introductions</t>
        </is>
      </c>
      <c r="N14" t="inlineStr">
        <is>
          <t>Equity-focused evaluation</t>
        </is>
      </c>
      <c r="P14" t="inlineStr">
        <is>
          <t>Same as above</t>
        </is>
      </c>
      <c r="R14" t="inlineStr">
        <is>
          <t>RESEARCHED</t>
        </is>
      </c>
      <c r="S14" t="inlineStr">
        <is>
          <t>10%</t>
        </is>
      </c>
      <c r="W14" t="inlineStr">
        <is>
          <t>Founder</t>
        </is>
      </c>
      <c r="X14" t="inlineStr">
        <is>
          <t>None</t>
        </is>
      </c>
      <c r="Y14" t="inlineStr">
        <is>
          <t>Support</t>
        </is>
      </c>
      <c r="Z14" t="inlineStr">
        <is>
          <t>Legitimate interest (B2B professional role) — TO VALIDATE</t>
        </is>
      </c>
    </row>
    <row r="15">
      <c r="A15" t="inlineStr">
        <is>
          <t>Health Innovation Manchester</t>
        </is>
      </c>
      <c r="B15" t="inlineStr">
        <is>
          <t>UK</t>
        </is>
      </c>
      <c r="C15" t="inlineStr">
        <is>
          <t>Health Innovation Network</t>
        </is>
      </c>
      <c r="D15" t="inlineStr">
        <is>
          <t>5 Commercial</t>
        </is>
      </c>
      <c r="E15" t="inlineStr">
        <is>
          <t>NOT YET IDENTIFIED (title known)</t>
        </is>
      </c>
      <c r="F15" t="inlineStr">
        <is>
          <t>Director of Innovation; Maternity lead</t>
        </is>
      </c>
      <c r="J15" t="inlineStr">
        <is>
          <t>Cold</t>
        </is>
      </c>
      <c r="K15" t="inlineStr">
        <is>
          <t>8</t>
        </is>
      </c>
      <c r="M15" t="inlineStr">
        <is>
          <t>Introductions; ICB route</t>
        </is>
      </c>
      <c r="N15" t="inlineStr">
        <is>
          <t>Evaluation; equity</t>
        </is>
      </c>
      <c r="P15" t="inlineStr">
        <is>
          <t>Email</t>
        </is>
      </c>
      <c r="R15" t="inlineStr">
        <is>
          <t>RESEARCHED</t>
        </is>
      </c>
      <c r="S15" t="inlineStr">
        <is>
          <t>10%</t>
        </is>
      </c>
      <c r="W15" t="inlineStr">
        <is>
          <t>Founder</t>
        </is>
      </c>
      <c r="X15" t="inlineStr">
        <is>
          <t>None</t>
        </is>
      </c>
      <c r="Y15" t="inlineStr">
        <is>
          <t>Support</t>
        </is>
      </c>
      <c r="Z15" t="inlineStr">
        <is>
          <t>Legitimate interest (B2B professional role) — TO VALIDATE</t>
        </is>
      </c>
    </row>
    <row r="16">
      <c r="A16" t="inlineStr">
        <is>
          <t>Health Innovation West Midlands</t>
        </is>
      </c>
      <c r="B16" t="inlineStr">
        <is>
          <t>UK</t>
        </is>
      </c>
      <c r="C16" t="inlineStr">
        <is>
          <t>Health Innovation Network</t>
        </is>
      </c>
      <c r="D16" t="inlineStr">
        <is>
          <t>5 Commercial</t>
        </is>
      </c>
      <c r="E16" t="inlineStr">
        <is>
          <t>NOT YET IDENTIFIED (title known)</t>
        </is>
      </c>
      <c r="F16" t="inlineStr">
        <is>
          <t>Innovation Exchange lead</t>
        </is>
      </c>
      <c r="J16" t="inlineStr">
        <is>
          <t>Cold</t>
        </is>
      </c>
      <c r="K16" t="inlineStr">
        <is>
          <t>8</t>
        </is>
      </c>
      <c r="M16" t="inlineStr">
        <is>
          <t>Introductions</t>
        </is>
      </c>
      <c r="N16" t="inlineStr">
        <is>
          <t>Equity design</t>
        </is>
      </c>
      <c r="P16" t="inlineStr">
        <is>
          <t>Email</t>
        </is>
      </c>
      <c r="R16" t="inlineStr">
        <is>
          <t>RESEARCHED</t>
        </is>
      </c>
      <c r="S16" t="inlineStr">
        <is>
          <t>10%</t>
        </is>
      </c>
      <c r="W16" t="inlineStr">
        <is>
          <t>Founder</t>
        </is>
      </c>
      <c r="X16" t="inlineStr">
        <is>
          <t>None</t>
        </is>
      </c>
      <c r="Y16" t="inlineStr">
        <is>
          <t>Support</t>
        </is>
      </c>
      <c r="Z16" t="inlineStr">
        <is>
          <t>Legitimate interest (B2B professional role) — TO VALIDATE</t>
        </is>
      </c>
    </row>
    <row r="17">
      <c r="A17" t="inlineStr">
        <is>
          <t>NHS England — Maternity and Neonatal Programme (national MEWS)</t>
        </is>
      </c>
      <c r="B17" t="inlineStr">
        <is>
          <t>UK</t>
        </is>
      </c>
      <c r="C17" t="inlineStr">
        <is>
          <t>National body</t>
        </is>
      </c>
      <c r="D17" t="inlineStr">
        <is>
          <t>6 Strategic</t>
        </is>
      </c>
      <c r="E17" t="inlineStr">
        <is>
          <t>NOT YET IDENTIFIED (title known)</t>
        </is>
      </c>
      <c r="F17" t="inlineStr">
        <is>
          <t>Head of Maternity Transformation / National Clinical Lead for Maternity Safety</t>
        </is>
      </c>
      <c r="J17" t="inlineStr">
        <is>
          <t>Cold</t>
        </is>
      </c>
      <c r="K17" t="inlineStr">
        <is>
          <t>8</t>
        </is>
      </c>
      <c r="M17" t="inlineStr">
        <is>
          <t>Alignment guidance; awareness</t>
        </is>
      </c>
      <c r="N17" t="inlineStr">
        <is>
          <t>Continuity layer aligned to MEWS; equity data</t>
        </is>
      </c>
      <c r="P17" t="inlineStr">
        <is>
          <t>Via HIN or NPEU introduction; never cold</t>
        </is>
      </c>
      <c r="R17" t="inlineStr">
        <is>
          <t>RESEARCHED</t>
        </is>
      </c>
      <c r="S17" t="inlineStr">
        <is>
          <t>10%</t>
        </is>
      </c>
      <c r="V17" t="inlineStr">
        <is>
          <t>Do not claim endorsement</t>
        </is>
      </c>
      <c r="W17" t="inlineStr">
        <is>
          <t>Founder</t>
        </is>
      </c>
      <c r="X17" t="inlineStr">
        <is>
          <t>None</t>
        </is>
      </c>
      <c r="Y17" t="inlineStr">
        <is>
          <t>Engagement</t>
        </is>
      </c>
      <c r="Z17" t="inlineStr">
        <is>
          <t>Legitimate interest (B2B professional role) — TO VALIDATE</t>
        </is>
      </c>
    </row>
    <row r="18">
      <c r="A18" t="inlineStr">
        <is>
          <t>NHS Race and Health Observatory</t>
        </is>
      </c>
      <c r="B18" t="inlineStr">
        <is>
          <t>UK</t>
        </is>
      </c>
      <c r="C18" t="inlineStr">
        <is>
          <t>National body</t>
        </is>
      </c>
      <c r="D18" t="inlineStr">
        <is>
          <t>6 Strategic</t>
        </is>
      </c>
      <c r="E18" t="inlineStr">
        <is>
          <t>NOT YET IDENTIFIED (title known)</t>
        </is>
      </c>
      <c r="F18" t="inlineStr">
        <is>
          <t>Director of Research / Head of Maternal Health workstream</t>
        </is>
      </c>
      <c r="J18" t="inlineStr">
        <is>
          <t>Cold</t>
        </is>
      </c>
      <c r="K18" t="inlineStr">
        <is>
          <t>8</t>
        </is>
      </c>
      <c r="M18" t="inlineStr">
        <is>
          <t>Review of equity design; visibility</t>
        </is>
      </c>
      <c r="N18" t="inlineStr">
        <is>
          <t>Data on reach and response by ethnicity</t>
        </is>
      </c>
      <c r="P18" t="inlineStr">
        <is>
          <t>Email proposing an equity-indicator review</t>
        </is>
      </c>
      <c r="R18" t="inlineStr">
        <is>
          <t>RESEARCHED</t>
        </is>
      </c>
      <c r="S18" t="inlineStr">
        <is>
          <t>10%</t>
        </is>
      </c>
      <c r="W18" t="inlineStr">
        <is>
          <t>Founder</t>
        </is>
      </c>
      <c r="X18" t="inlineStr">
        <is>
          <t>None</t>
        </is>
      </c>
      <c r="Y18" t="inlineStr">
        <is>
          <t>Engagement / research</t>
        </is>
      </c>
      <c r="Z18" t="inlineStr">
        <is>
          <t>Legitimate interest (B2B professional role) — TO VALIDATE</t>
        </is>
      </c>
    </row>
    <row r="19">
      <c r="A19" t="inlineStr">
        <is>
          <t>Royal College of Obstetricians and Gynaecologists (RCOG)</t>
        </is>
      </c>
      <c r="B19" t="inlineStr">
        <is>
          <t>UK</t>
        </is>
      </c>
      <c r="C19" t="inlineStr">
        <is>
          <t>Professional body</t>
        </is>
      </c>
      <c r="D19" t="inlineStr">
        <is>
          <t>3 Clinical</t>
        </is>
      </c>
      <c r="E19" t="inlineStr">
        <is>
          <t>NOT YET IDENTIFIED (title known)</t>
        </is>
      </c>
      <c r="F19" t="inlineStr">
        <is>
          <t>Director of Clinical Quality; Digital/Innovation lead</t>
        </is>
      </c>
      <c r="J19" t="inlineStr">
        <is>
          <t>Cold</t>
        </is>
      </c>
      <c r="K19" t="inlineStr">
        <is>
          <t>6</t>
        </is>
      </c>
      <c r="M19" t="inlineStr">
        <is>
          <t>Process review; events</t>
        </is>
      </c>
      <c r="N19" t="inlineStr">
        <is>
          <t>Alignment to guidance</t>
        </is>
      </c>
      <c r="P19" t="inlineStr">
        <is>
          <t>Approach via clinician partners</t>
        </is>
      </c>
      <c r="R19" t="inlineStr">
        <is>
          <t>RESEARCHED</t>
        </is>
      </c>
      <c r="S19" t="inlineStr">
        <is>
          <t>10%</t>
        </is>
      </c>
      <c r="V19" t="inlineStr">
        <is>
          <t>No endorsement claims</t>
        </is>
      </c>
      <c r="W19" t="inlineStr">
        <is>
          <t>Founder</t>
        </is>
      </c>
      <c r="X19" t="inlineStr">
        <is>
          <t>None</t>
        </is>
      </c>
      <c r="Y19" t="inlineStr">
        <is>
          <t>Engagement</t>
        </is>
      </c>
      <c r="Z19" t="inlineStr">
        <is>
          <t>Legitimate interest (B2B professional role) — TO VALIDATE</t>
        </is>
      </c>
    </row>
    <row r="20">
      <c r="A20" t="inlineStr">
        <is>
          <t>Royal College of Midwives (RCM)</t>
        </is>
      </c>
      <c r="B20" t="inlineStr">
        <is>
          <t>UK</t>
        </is>
      </c>
      <c r="C20" t="inlineStr">
        <is>
          <t>Professional body</t>
        </is>
      </c>
      <c r="D20" t="inlineStr">
        <is>
          <t>3 Clinical</t>
        </is>
      </c>
      <c r="E20" t="inlineStr">
        <is>
          <t>NOT YET IDENTIFIED (title known)</t>
        </is>
      </c>
      <c r="F20" t="inlineStr">
        <is>
          <t>Director for Professional Midwifery; Digital lead</t>
        </is>
      </c>
      <c r="J20" t="inlineStr">
        <is>
          <t>Cold</t>
        </is>
      </c>
      <c r="K20" t="inlineStr">
        <is>
          <t>7</t>
        </is>
      </c>
      <c r="M20" t="inlineStr">
        <is>
          <t>Midwifery workflow review; training content</t>
        </is>
      </c>
      <c r="N20" t="inlineStr">
        <is>
          <t>Training modules</t>
        </is>
      </c>
      <c r="P20" t="inlineStr">
        <is>
          <t>Email proposing a workflow review</t>
        </is>
      </c>
      <c r="R20" t="inlineStr">
        <is>
          <t>RESEARCHED</t>
        </is>
      </c>
      <c r="S20" t="inlineStr">
        <is>
          <t>10%</t>
        </is>
      </c>
      <c r="W20" t="inlineStr">
        <is>
          <t>Founder</t>
        </is>
      </c>
      <c r="X20" t="inlineStr">
        <is>
          <t>None</t>
        </is>
      </c>
      <c r="Y20" t="inlineStr">
        <is>
          <t>Engagement</t>
        </is>
      </c>
      <c r="Z20" t="inlineStr">
        <is>
          <t>Legitimate interest (B2B professional role) — TO VALIDATE</t>
        </is>
      </c>
    </row>
    <row r="21">
      <c r="A21" t="inlineStr">
        <is>
          <t>Tommy's</t>
        </is>
      </c>
      <c r="B21" t="inlineStr">
        <is>
          <t>UK</t>
        </is>
      </c>
      <c r="C21" t="inlineStr">
        <is>
          <t>Charity / research</t>
        </is>
      </c>
      <c r="D21" t="inlineStr">
        <is>
          <t>1 Foundational</t>
        </is>
      </c>
      <c r="E21" t="inlineStr">
        <is>
          <t>NOT YET IDENTIFIED (title known)</t>
        </is>
      </c>
      <c r="F21" t="inlineStr">
        <is>
          <t>Head of Research; Director of Research and Policy</t>
        </is>
      </c>
      <c r="J21" t="inlineStr">
        <is>
          <t>Cold</t>
        </is>
      </c>
      <c r="K21" t="inlineStr">
        <is>
          <t>9</t>
        </is>
      </c>
      <c r="M21" t="inlineStr">
        <is>
          <t>Review evaluation design; clinical champion introductions; community input</t>
        </is>
      </c>
      <c r="N21" t="inlineStr">
        <is>
          <t>Data sharing under governance; co-branded information content</t>
        </is>
      </c>
      <c r="P21" t="inlineStr">
        <is>
          <t>Email to Head of Research with the evaluation concept</t>
        </is>
      </c>
      <c r="R21" t="inlineStr">
        <is>
          <t>RESEARCHED</t>
        </is>
      </c>
      <c r="S21" t="inlineStr">
        <is>
          <t>10%</t>
        </is>
      </c>
      <c r="W21" t="inlineStr">
        <is>
          <t>Founder</t>
        </is>
      </c>
      <c r="X21" t="inlineStr">
        <is>
          <t>None</t>
        </is>
      </c>
      <c r="Y21" t="inlineStr">
        <is>
          <t>Research/community partnership</t>
        </is>
      </c>
      <c r="Z21" t="inlineStr">
        <is>
          <t>Legitimate interest (B2B professional role) — TO VALIDATE</t>
        </is>
      </c>
    </row>
    <row r="22">
      <c r="A22" t="inlineStr">
        <is>
          <t>Five X More</t>
        </is>
      </c>
      <c r="B22" t="inlineStr">
        <is>
          <t>UK</t>
        </is>
      </c>
      <c r="C22" t="inlineStr">
        <is>
          <t>Community organisation</t>
        </is>
      </c>
      <c r="D22" t="inlineStr">
        <is>
          <t>1 Foundational</t>
        </is>
      </c>
      <c r="E22" t="inlineStr">
        <is>
          <t>NOT YET IDENTIFIED (title known)</t>
        </is>
      </c>
      <c r="F22" t="inlineStr">
        <is>
          <t>Co-founders</t>
        </is>
      </c>
      <c r="J22" t="inlineStr">
        <is>
          <t>Cold</t>
        </is>
      </c>
      <c r="K22" t="inlineStr">
        <is>
          <t>9</t>
        </is>
      </c>
      <c r="M22" t="inlineStr">
        <is>
          <t>Equity design co-creation; community panel</t>
        </is>
      </c>
      <c r="N22" t="inlineStr">
        <is>
          <t>Paid advisory role; transparent equity reporting</t>
        </is>
      </c>
      <c r="P22" t="inlineStr">
        <is>
          <t>LinkedIn note then call; offer paid involvement</t>
        </is>
      </c>
      <c r="R22" t="inlineStr">
        <is>
          <t>RESEARCHED</t>
        </is>
      </c>
      <c r="S22" t="inlineStr">
        <is>
          <t>10%</t>
        </is>
      </c>
      <c r="V22" t="inlineStr">
        <is>
          <t>Public campaign founders</t>
        </is>
      </c>
      <c r="W22" t="inlineStr">
        <is>
          <t>Founder</t>
        </is>
      </c>
      <c r="X22" t="inlineStr">
        <is>
          <t>None</t>
        </is>
      </c>
      <c r="Y22" t="inlineStr">
        <is>
          <t>Community partnership</t>
        </is>
      </c>
      <c r="Z22" t="inlineStr">
        <is>
          <t>Legitimate interest (B2B professional role) — TO VALIDATE</t>
        </is>
      </c>
    </row>
    <row r="23">
      <c r="A23" t="inlineStr">
        <is>
          <t>Birthrights</t>
        </is>
      </c>
      <c r="B23" t="inlineStr">
        <is>
          <t>UK</t>
        </is>
      </c>
      <c r="C23" t="inlineStr">
        <is>
          <t>Charity</t>
        </is>
      </c>
      <c r="D23" t="inlineStr">
        <is>
          <t>3 Clinical</t>
        </is>
      </c>
      <c r="E23" t="inlineStr">
        <is>
          <t>NOT YET IDENTIFIED (title known)</t>
        </is>
      </c>
      <c r="F23" t="inlineStr">
        <is>
          <t>Chief Executive; Head of Policy</t>
        </is>
      </c>
      <c r="J23" t="inlineStr">
        <is>
          <t>Cold</t>
        </is>
      </c>
      <c r="K23" t="inlineStr">
        <is>
          <t>7</t>
        </is>
      </c>
      <c r="M23" t="inlineStr">
        <is>
          <t>Consent and rights review</t>
        </is>
      </c>
      <c r="N23" t="inlineStr">
        <is>
          <t>Paid review; co-design</t>
        </is>
      </c>
      <c r="P23" t="inlineStr">
        <is>
          <t>Email</t>
        </is>
      </c>
      <c r="R23" t="inlineStr">
        <is>
          <t>RESEARCHED</t>
        </is>
      </c>
      <c r="S23" t="inlineStr">
        <is>
          <t>10%</t>
        </is>
      </c>
      <c r="W23" t="inlineStr">
        <is>
          <t>Founder</t>
        </is>
      </c>
      <c r="X23" t="inlineStr">
        <is>
          <t>None</t>
        </is>
      </c>
      <c r="Y23" t="inlineStr">
        <is>
          <t>Advisory</t>
        </is>
      </c>
      <c r="Z23" t="inlineStr">
        <is>
          <t>Legitimate interest (B2B professional role) — TO VALIDATE</t>
        </is>
      </c>
    </row>
    <row r="24">
      <c r="A24" t="inlineStr">
        <is>
          <t>Wellbeing of Women</t>
        </is>
      </c>
      <c r="B24" t="inlineStr">
        <is>
          <t>UK</t>
        </is>
      </c>
      <c r="C24" t="inlineStr">
        <is>
          <t>Charity / funder</t>
        </is>
      </c>
      <c r="D24" t="inlineStr">
        <is>
          <t>7 Funding</t>
        </is>
      </c>
      <c r="E24" t="inlineStr">
        <is>
          <t>NOT YET IDENTIFIED (title known)</t>
        </is>
      </c>
      <c r="F24" t="inlineStr">
        <is>
          <t>Director of Research</t>
        </is>
      </c>
      <c r="J24" t="inlineStr">
        <is>
          <t>Cold</t>
        </is>
      </c>
      <c r="K24" t="inlineStr">
        <is>
          <t>6</t>
        </is>
      </c>
      <c r="M24" t="inlineStr">
        <is>
          <t>Research funding; endorsement of study design</t>
        </is>
      </c>
      <c r="N24" t="inlineStr">
        <is>
          <t>Study proposal</t>
        </is>
      </c>
      <c r="P24" t="inlineStr">
        <is>
          <t>Apply when call opens</t>
        </is>
      </c>
      <c r="R24" t="inlineStr">
        <is>
          <t>RESEARCHED</t>
        </is>
      </c>
      <c r="S24" t="inlineStr">
        <is>
          <t>10%</t>
        </is>
      </c>
      <c r="W24" t="inlineStr">
        <is>
          <t>Founder</t>
        </is>
      </c>
      <c r="X24" t="inlineStr">
        <is>
          <t>None</t>
        </is>
      </c>
      <c r="Y24" t="inlineStr">
        <is>
          <t>Grant</t>
        </is>
      </c>
      <c r="Z24" t="inlineStr">
        <is>
          <t>Legitimate interest (B2B professional role) — TO VALIDATE</t>
        </is>
      </c>
    </row>
    <row r="25">
      <c r="A25" t="inlineStr">
        <is>
          <t>Maternal Mental Health Alliance</t>
        </is>
      </c>
      <c r="B25" t="inlineStr">
        <is>
          <t>UK</t>
        </is>
      </c>
      <c r="C25" t="inlineStr">
        <is>
          <t>Charity network</t>
        </is>
      </c>
      <c r="D25" t="inlineStr">
        <is>
          <t>3 Clinical</t>
        </is>
      </c>
      <c r="E25" t="inlineStr">
        <is>
          <t>NOT YET IDENTIFIED (title known)</t>
        </is>
      </c>
      <c r="F25" t="inlineStr">
        <is>
          <t>Chief Executive; Policy lead</t>
        </is>
      </c>
      <c r="J25" t="inlineStr">
        <is>
          <t>Cold</t>
        </is>
      </c>
      <c r="K25" t="inlineStr">
        <is>
          <t>7</t>
        </is>
      </c>
      <c r="M25" t="inlineStr">
        <is>
          <t>Postpartum module design</t>
        </is>
      </c>
      <c r="N25" t="inlineStr">
        <is>
          <t>Routing to services; data</t>
        </is>
      </c>
      <c r="P25" t="inlineStr">
        <is>
          <t>Email</t>
        </is>
      </c>
      <c r="R25" t="inlineStr">
        <is>
          <t>RESEARCHED</t>
        </is>
      </c>
      <c r="S25" t="inlineStr">
        <is>
          <t>10%</t>
        </is>
      </c>
      <c r="W25" t="inlineStr">
        <is>
          <t>Founder</t>
        </is>
      </c>
      <c r="X25" t="inlineStr">
        <is>
          <t>None</t>
        </is>
      </c>
      <c r="Y25" t="inlineStr">
        <is>
          <t>Advisory</t>
        </is>
      </c>
      <c r="Z25" t="inlineStr">
        <is>
          <t>Legitimate interest (B2B professional role) — TO VALIDATE</t>
        </is>
      </c>
    </row>
    <row r="26">
      <c r="A26" t="inlineStr">
        <is>
          <t>Sands</t>
        </is>
      </c>
      <c r="B26" t="inlineStr">
        <is>
          <t>UK</t>
        </is>
      </c>
      <c r="C26" t="inlineStr">
        <is>
          <t>Charity</t>
        </is>
      </c>
      <c r="D26" t="inlineStr">
        <is>
          <t>3 Clinical</t>
        </is>
      </c>
      <c r="E26" t="inlineStr">
        <is>
          <t>NOT YET IDENTIFIED (title known)</t>
        </is>
      </c>
      <c r="F26" t="inlineStr">
        <is>
          <t>Head of Research and Prevention</t>
        </is>
      </c>
      <c r="J26" t="inlineStr">
        <is>
          <t>Cold</t>
        </is>
      </c>
      <c r="K26" t="inlineStr">
        <is>
          <t>5</t>
        </is>
      </c>
      <c r="M26" t="inlineStr">
        <is>
          <t>Safety and sensitivity review</t>
        </is>
      </c>
      <c r="N26" t="inlineStr">
        <is>
          <t>Content review</t>
        </is>
      </c>
      <c r="P26" t="inlineStr">
        <is>
          <t>Email</t>
        </is>
      </c>
      <c r="R26" t="inlineStr">
        <is>
          <t>RESEARCHED</t>
        </is>
      </c>
      <c r="S26" t="inlineStr">
        <is>
          <t>10%</t>
        </is>
      </c>
      <c r="W26" t="inlineStr">
        <is>
          <t>Founder</t>
        </is>
      </c>
      <c r="X26" t="inlineStr">
        <is>
          <t>None</t>
        </is>
      </c>
      <c r="Y26" t="inlineStr">
        <is>
          <t>Advisory</t>
        </is>
      </c>
      <c r="Z26" t="inlineStr">
        <is>
          <t>Legitimate interest (B2B professional role) — TO VALIDATE</t>
        </is>
      </c>
    </row>
    <row r="27">
      <c r="A27" t="inlineStr">
        <is>
          <t>PRSB (Professional Record Standards Body)</t>
        </is>
      </c>
      <c r="B27" t="inlineStr">
        <is>
          <t>UK</t>
        </is>
      </c>
      <c r="C27" t="inlineStr">
        <is>
          <t>Standards body</t>
        </is>
      </c>
      <c r="D27" t="inlineStr">
        <is>
          <t>2 Technology</t>
        </is>
      </c>
      <c r="E27" t="inlineStr">
        <is>
          <t>NOT YET IDENTIFIED (title known)</t>
        </is>
      </c>
      <c r="F27" t="inlineStr">
        <is>
          <t>Clinical Director; Programme lead</t>
        </is>
      </c>
      <c r="J27" t="inlineStr">
        <is>
          <t>Cold</t>
        </is>
      </c>
      <c r="K27" t="inlineStr">
        <is>
          <t>6</t>
        </is>
      </c>
      <c r="M27" t="inlineStr">
        <is>
          <t>Standards alignment; minimum dataset</t>
        </is>
      </c>
      <c r="N27" t="inlineStr">
        <is>
          <t>Implementation feedback</t>
        </is>
      </c>
      <c r="P27" t="inlineStr">
        <is>
          <t>Email</t>
        </is>
      </c>
      <c r="R27" t="inlineStr">
        <is>
          <t>RESEARCHED</t>
        </is>
      </c>
      <c r="S27" t="inlineStr">
        <is>
          <t>10%</t>
        </is>
      </c>
      <c r="W27" t="inlineStr">
        <is>
          <t>Founder</t>
        </is>
      </c>
      <c r="X27" t="inlineStr">
        <is>
          <t>None</t>
        </is>
      </c>
      <c r="Y27" t="inlineStr">
        <is>
          <t>Engagement</t>
        </is>
      </c>
      <c r="Z27" t="inlineStr">
        <is>
          <t>Legitimate interest (B2B professional role) — TO VALIDATE</t>
        </is>
      </c>
    </row>
    <row r="28">
      <c r="A28" t="inlineStr">
        <is>
          <t>Health Data Research UK (HDR UK)</t>
        </is>
      </c>
      <c r="B28" t="inlineStr">
        <is>
          <t>UK</t>
        </is>
      </c>
      <c r="C28" t="inlineStr">
        <is>
          <t>Data institute</t>
        </is>
      </c>
      <c r="D28" t="inlineStr">
        <is>
          <t>4 Data</t>
        </is>
      </c>
      <c r="E28" t="inlineStr">
        <is>
          <t>NOT YET IDENTIFIED (title known)</t>
        </is>
      </c>
      <c r="F28" t="inlineStr">
        <is>
          <t>Director of Infrastructure / Perinatal data lead</t>
        </is>
      </c>
      <c r="J28" t="inlineStr">
        <is>
          <t>Cold</t>
        </is>
      </c>
      <c r="K28" t="inlineStr">
        <is>
          <t>6</t>
        </is>
      </c>
      <c r="M28" t="inlineStr">
        <is>
          <t>Cohort governance advice; TRE partnership</t>
        </is>
      </c>
      <c r="N28" t="inlineStr">
        <is>
          <t>New perinatal dataset</t>
        </is>
      </c>
      <c r="P28" t="inlineStr">
        <is>
          <t>Email</t>
        </is>
      </c>
      <c r="R28" t="inlineStr">
        <is>
          <t>RESEARCHED</t>
        </is>
      </c>
      <c r="S28" t="inlineStr">
        <is>
          <t>10%</t>
        </is>
      </c>
      <c r="W28" t="inlineStr">
        <is>
          <t>Founder</t>
        </is>
      </c>
      <c r="X28" t="inlineStr">
        <is>
          <t>None</t>
        </is>
      </c>
      <c r="Y28" t="inlineStr">
        <is>
          <t>Research</t>
        </is>
      </c>
      <c r="Z28" t="inlineStr">
        <is>
          <t>Legitimate interest (B2B professional role) — TO VALIDATE</t>
        </is>
      </c>
    </row>
    <row r="29">
      <c r="A29" t="inlineStr">
        <is>
          <t>Born in Bradford (Bradford Institute for Health Research)</t>
        </is>
      </c>
      <c r="B29" t="inlineStr">
        <is>
          <t>UK</t>
        </is>
      </c>
      <c r="C29" t="inlineStr">
        <is>
          <t>Cohort study</t>
        </is>
      </c>
      <c r="D29" t="inlineStr">
        <is>
          <t>4 Data</t>
        </is>
      </c>
      <c r="E29" t="inlineStr">
        <is>
          <t>NOT YET IDENTIFIED (title known)</t>
        </is>
      </c>
      <c r="F29" t="inlineStr">
        <is>
          <t>Director; Head of Data</t>
        </is>
      </c>
      <c r="J29" t="inlineStr">
        <is>
          <t>Cold</t>
        </is>
      </c>
      <c r="K29" t="inlineStr">
        <is>
          <t>7</t>
        </is>
      </c>
      <c r="M29" t="inlineStr">
        <is>
          <t>Methods and linkage advice; site interest</t>
        </is>
      </c>
      <c r="N29" t="inlineStr">
        <is>
          <t>Digital continuity for a new sub-cohort</t>
        </is>
      </c>
      <c r="P29" t="inlineStr">
        <is>
          <t>Email</t>
        </is>
      </c>
      <c r="R29" t="inlineStr">
        <is>
          <t>RESEARCHED</t>
        </is>
      </c>
      <c r="S29" t="inlineStr">
        <is>
          <t>10%</t>
        </is>
      </c>
      <c r="W29" t="inlineStr">
        <is>
          <t>Founder</t>
        </is>
      </c>
      <c r="X29" t="inlineStr">
        <is>
          <t>None</t>
        </is>
      </c>
      <c r="Y29" t="inlineStr">
        <is>
          <t>Research</t>
        </is>
      </c>
      <c r="Z29" t="inlineStr">
        <is>
          <t>Legitimate interest (B2B professional role) — TO VALIDATE</t>
        </is>
      </c>
    </row>
    <row r="30">
      <c r="A30" t="inlineStr">
        <is>
          <t>Clevermed (BadgerNet Maternity)</t>
        </is>
      </c>
      <c r="B30" t="inlineStr">
        <is>
          <t>UK</t>
        </is>
      </c>
      <c r="C30" t="inlineStr">
        <is>
          <t>Maternity record vendor</t>
        </is>
      </c>
      <c r="D30" t="inlineStr">
        <is>
          <t>2 Technology</t>
        </is>
      </c>
      <c r="E30" t="inlineStr">
        <is>
          <t>NOT YET IDENTIFIED (title known)</t>
        </is>
      </c>
      <c r="F30" t="inlineStr">
        <is>
          <t>Head of Partnerships / Product Director</t>
        </is>
      </c>
      <c r="J30" t="inlineStr">
        <is>
          <t>Cold</t>
        </is>
      </c>
      <c r="K30" t="inlineStr">
        <is>
          <t>8</t>
        </is>
      </c>
      <c r="M30" t="inlineStr">
        <is>
          <t>Interface specification; partner status</t>
        </is>
      </c>
      <c r="N30" t="inlineStr">
        <is>
          <t>Complementary home-monitoring; joint customers</t>
        </is>
      </c>
      <c r="P30" t="inlineStr">
        <is>
          <t>Approach after first trust LOI, through the trust's CCIO</t>
        </is>
      </c>
      <c r="R30" t="inlineStr">
        <is>
          <t>RESEARCHED</t>
        </is>
      </c>
      <c r="S30" t="inlineStr">
        <is>
          <t>10%</t>
        </is>
      </c>
      <c r="W30" t="inlineStr">
        <is>
          <t>Founder</t>
        </is>
      </c>
      <c r="X30" t="inlineStr">
        <is>
          <t>None</t>
        </is>
      </c>
      <c r="Y30" t="inlineStr">
        <is>
          <t>Interface partnership</t>
        </is>
      </c>
      <c r="Z30" t="inlineStr">
        <is>
          <t>Legitimate interest (B2B professional role) — TO VALIDATE</t>
        </is>
      </c>
    </row>
    <row r="31">
      <c r="A31" t="inlineStr">
        <is>
          <t>K2 Medical Systems</t>
        </is>
      </c>
      <c r="B31" t="inlineStr">
        <is>
          <t>UK</t>
        </is>
      </c>
      <c r="C31" t="inlineStr">
        <is>
          <t>Maternity systems vendor</t>
        </is>
      </c>
      <c r="D31" t="inlineStr">
        <is>
          <t>2 Technology</t>
        </is>
      </c>
      <c r="E31" t="inlineStr">
        <is>
          <t>NOT YET IDENTIFIED (title known)</t>
        </is>
      </c>
      <c r="F31" t="inlineStr">
        <is>
          <t>Commercial Director; Product lead</t>
        </is>
      </c>
      <c r="J31" t="inlineStr">
        <is>
          <t>Cold</t>
        </is>
      </c>
      <c r="K31" t="inlineStr">
        <is>
          <t>7</t>
        </is>
      </c>
      <c r="M31" t="inlineStr">
        <is>
          <t>Interface</t>
        </is>
      </c>
      <c r="N31" t="inlineStr">
        <is>
          <t>Complementary product</t>
        </is>
      </c>
      <c r="P31" t="inlineStr">
        <is>
          <t>Same as Clevermed</t>
        </is>
      </c>
      <c r="R31" t="inlineStr">
        <is>
          <t>RESEARCHED</t>
        </is>
      </c>
      <c r="S31" t="inlineStr">
        <is>
          <t>10%</t>
        </is>
      </c>
      <c r="W31" t="inlineStr">
        <is>
          <t>Founder</t>
        </is>
      </c>
      <c r="X31" t="inlineStr">
        <is>
          <t>None</t>
        </is>
      </c>
      <c r="Y31" t="inlineStr">
        <is>
          <t>Interface partnership</t>
        </is>
      </c>
      <c r="Z31" t="inlineStr">
        <is>
          <t>Legitimate interest (B2B professional role) — TO VALIDATE</t>
        </is>
      </c>
    </row>
    <row r="32">
      <c r="A32" t="inlineStr">
        <is>
          <t>Magentus (Euroking)</t>
        </is>
      </c>
      <c r="B32" t="inlineStr">
        <is>
          <t>UK</t>
        </is>
      </c>
      <c r="C32" t="inlineStr">
        <is>
          <t>Maternity record vendor</t>
        </is>
      </c>
      <c r="D32" t="inlineStr">
        <is>
          <t>2 Technology</t>
        </is>
      </c>
      <c r="E32" t="inlineStr">
        <is>
          <t>NOT YET IDENTIFIED (title known)</t>
        </is>
      </c>
      <c r="F32" t="inlineStr">
        <is>
          <t>Partnerships lead</t>
        </is>
      </c>
      <c r="J32" t="inlineStr">
        <is>
          <t>Cold</t>
        </is>
      </c>
      <c r="K32" t="inlineStr">
        <is>
          <t>6</t>
        </is>
      </c>
      <c r="M32" t="inlineStr">
        <is>
          <t>Interface</t>
        </is>
      </c>
      <c r="N32" t="inlineStr">
        <is>
          <t>Complementary product</t>
        </is>
      </c>
      <c r="P32" t="inlineStr">
        <is>
          <t>Same</t>
        </is>
      </c>
      <c r="R32" t="inlineStr">
        <is>
          <t>RESEARCHED</t>
        </is>
      </c>
      <c r="S32" t="inlineStr">
        <is>
          <t>10%</t>
        </is>
      </c>
      <c r="W32" t="inlineStr">
        <is>
          <t>Founder</t>
        </is>
      </c>
      <c r="X32" t="inlineStr">
        <is>
          <t>None</t>
        </is>
      </c>
      <c r="Y32" t="inlineStr">
        <is>
          <t>Interface partnership</t>
        </is>
      </c>
      <c r="Z32" t="inlineStr">
        <is>
          <t>Legitimate interest (B2B professional role) — TO VALIDATE</t>
        </is>
      </c>
    </row>
    <row r="33">
      <c r="A33" t="inlineStr">
        <is>
          <t>Healthy.io</t>
        </is>
      </c>
      <c r="B33" t="inlineStr">
        <is>
          <t>UK/Israel</t>
        </is>
      </c>
      <c r="C33" t="inlineStr">
        <is>
          <t>Digital diagnostics</t>
        </is>
      </c>
      <c r="D33" t="inlineStr">
        <is>
          <t>2 Technology</t>
        </is>
      </c>
      <c r="E33" t="inlineStr">
        <is>
          <t>NOT YET IDENTIFIED (title known)</t>
        </is>
      </c>
      <c r="F33" t="inlineStr">
        <is>
          <t>UK General Manager; Head of Partnerships</t>
        </is>
      </c>
      <c r="J33" t="inlineStr">
        <is>
          <t>Cold</t>
        </is>
      </c>
      <c r="K33" t="inlineStr">
        <is>
          <t>8</t>
        </is>
      </c>
      <c r="M33" t="inlineStr">
        <is>
          <t>API access; per-test pricing; maternity pathway</t>
        </is>
      </c>
      <c r="N33" t="inlineStr">
        <is>
          <t>Maternity channel; case study</t>
        </is>
      </c>
      <c r="P33" t="inlineStr">
        <is>
          <t>Email with pathway description</t>
        </is>
      </c>
      <c r="R33" t="inlineStr">
        <is>
          <t>RESEARCHED</t>
        </is>
      </c>
      <c r="S33" t="inlineStr">
        <is>
          <t>10%</t>
        </is>
      </c>
      <c r="W33" t="inlineStr">
        <is>
          <t>Founder</t>
        </is>
      </c>
      <c r="X33" t="inlineStr">
        <is>
          <t>None</t>
        </is>
      </c>
      <c r="Y33" t="inlineStr">
        <is>
          <t>Commercial/integration</t>
        </is>
      </c>
      <c r="Z33" t="inlineStr">
        <is>
          <t>Legitimate interest (B2B professional role) — TO VALIDATE</t>
        </is>
      </c>
    </row>
    <row r="34">
      <c r="A34" t="inlineStr">
        <is>
          <t>Omron Healthcare UK</t>
        </is>
      </c>
      <c r="B34" t="inlineStr">
        <is>
          <t>UK/Japan</t>
        </is>
      </c>
      <c r="C34" t="inlineStr">
        <is>
          <t>Device maker</t>
        </is>
      </c>
      <c r="D34" t="inlineStr">
        <is>
          <t>2 Technology</t>
        </is>
      </c>
      <c r="E34" t="inlineStr">
        <is>
          <t>NOT YET IDENTIFIED (title known)</t>
        </is>
      </c>
      <c r="F34" t="inlineStr">
        <is>
          <t>Medical Channel Manager UK; Head of Digital Health</t>
        </is>
      </c>
      <c r="J34" t="inlineStr">
        <is>
          <t>Cold</t>
        </is>
      </c>
      <c r="K34" t="inlineStr">
        <is>
          <t>8</t>
        </is>
      </c>
      <c r="M34" t="inlineStr">
        <is>
          <t>SDK; loan devices; pricing</t>
        </is>
      </c>
      <c r="N34" t="inlineStr">
        <is>
          <t>Maternity channel; evidence</t>
        </is>
      </c>
      <c r="P34" t="inlineStr">
        <is>
          <t>Call medical channel team</t>
        </is>
      </c>
      <c r="R34" t="inlineStr">
        <is>
          <t>RESEARCHED</t>
        </is>
      </c>
      <c r="S34" t="inlineStr">
        <is>
          <t>10%</t>
        </is>
      </c>
      <c r="W34" t="inlineStr">
        <is>
          <t>Founder</t>
        </is>
      </c>
      <c r="X34" t="inlineStr">
        <is>
          <t>None</t>
        </is>
      </c>
      <c r="Y34" t="inlineStr">
        <is>
          <t>Supply/integration</t>
        </is>
      </c>
      <c r="Z34" t="inlineStr">
        <is>
          <t>Legitimate interest (B2B professional role) — TO VALIDATE</t>
        </is>
      </c>
    </row>
    <row r="35">
      <c r="A35" t="inlineStr">
        <is>
          <t>Withings</t>
        </is>
      </c>
      <c r="B35" t="inlineStr">
        <is>
          <t>France</t>
        </is>
      </c>
      <c r="C35" t="inlineStr">
        <is>
          <t>Device maker</t>
        </is>
      </c>
      <c r="D35" t="inlineStr">
        <is>
          <t>2 Technology</t>
        </is>
      </c>
      <c r="E35" t="inlineStr">
        <is>
          <t>NOT YET IDENTIFIED (title known)</t>
        </is>
      </c>
      <c r="F35" t="inlineStr">
        <is>
          <t>Head of B2B Health / Withings Health Solutions</t>
        </is>
      </c>
      <c r="J35" t="inlineStr">
        <is>
          <t>Cold</t>
        </is>
      </c>
      <c r="K35" t="inlineStr">
        <is>
          <t>7</t>
        </is>
      </c>
      <c r="M35" t="inlineStr">
        <is>
          <t>SDK; devices</t>
        </is>
      </c>
      <c r="N35" t="inlineStr">
        <is>
          <t>Maternity use case</t>
        </is>
      </c>
      <c r="P35" t="inlineStr">
        <is>
          <t>Email B2B team</t>
        </is>
      </c>
      <c r="R35" t="inlineStr">
        <is>
          <t>RESEARCHED</t>
        </is>
      </c>
      <c r="S35" t="inlineStr">
        <is>
          <t>10%</t>
        </is>
      </c>
      <c r="W35" t="inlineStr">
        <is>
          <t>Founder</t>
        </is>
      </c>
      <c r="X35" t="inlineStr">
        <is>
          <t>None</t>
        </is>
      </c>
      <c r="Y35" t="inlineStr">
        <is>
          <t>Supply/integration</t>
        </is>
      </c>
      <c r="Z35" t="inlineStr">
        <is>
          <t>Legitimate interest (B2B professional role) — TO VALIDATE</t>
        </is>
      </c>
    </row>
    <row r="36">
      <c r="A36" t="inlineStr">
        <is>
          <t>A&amp;D Medical (UK)</t>
        </is>
      </c>
      <c r="B36" t="inlineStr">
        <is>
          <t>UK/Japan</t>
        </is>
      </c>
      <c r="C36" t="inlineStr">
        <is>
          <t>Device maker</t>
        </is>
      </c>
      <c r="D36" t="inlineStr">
        <is>
          <t>2 Technology</t>
        </is>
      </c>
      <c r="E36" t="inlineStr">
        <is>
          <t>NOT YET IDENTIFIED (title known)</t>
        </is>
      </c>
      <c r="F36" t="inlineStr">
        <is>
          <t>UK Sales Manager (medical)</t>
        </is>
      </c>
      <c r="J36" t="inlineStr">
        <is>
          <t>Cold</t>
        </is>
      </c>
      <c r="K36" t="inlineStr">
        <is>
          <t>5</t>
        </is>
      </c>
      <c r="M36" t="inlineStr">
        <is>
          <t>Devices; pricing</t>
        </is>
      </c>
      <c r="N36" t="inlineStr">
        <is>
          <t>Channel</t>
        </is>
      </c>
      <c r="P36" t="inlineStr">
        <is>
          <t>Email</t>
        </is>
      </c>
      <c r="R36" t="inlineStr">
        <is>
          <t>RESEARCHED</t>
        </is>
      </c>
      <c r="S36" t="inlineStr">
        <is>
          <t>10%</t>
        </is>
      </c>
      <c r="W36" t="inlineStr">
        <is>
          <t>Founder</t>
        </is>
      </c>
      <c r="X36" t="inlineStr">
        <is>
          <t>None</t>
        </is>
      </c>
      <c r="Y36" t="inlineStr">
        <is>
          <t>Supply</t>
        </is>
      </c>
      <c r="Z36" t="inlineStr">
        <is>
          <t>Legitimate interest (B2B professional role) — TO VALIDATE</t>
        </is>
      </c>
    </row>
    <row r="37">
      <c r="A37" t="inlineStr">
        <is>
          <t>Bupa (UK)</t>
        </is>
      </c>
      <c r="B37" t="inlineStr">
        <is>
          <t>UK</t>
        </is>
      </c>
      <c r="C37" t="inlineStr">
        <is>
          <t>Insurer/provider</t>
        </is>
      </c>
      <c r="D37" t="inlineStr">
        <is>
          <t>6 Strategic</t>
        </is>
      </c>
      <c r="E37" t="inlineStr">
        <is>
          <t>NOT YET IDENTIFIED (title known)</t>
        </is>
      </c>
      <c r="F37" t="inlineStr">
        <is>
          <t>Head of Health Innovation / Clinical Director for Women's Health</t>
        </is>
      </c>
      <c r="J37" t="inlineStr">
        <is>
          <t>Cold</t>
        </is>
      </c>
      <c r="K37" t="inlineStr">
        <is>
          <t>7</t>
        </is>
      </c>
      <c r="M37" t="inlineStr">
        <is>
          <t>Exploratory pilot of postpartum continuity as a benefit</t>
        </is>
      </c>
      <c r="N37" t="inlineStr">
        <is>
          <t>Evidence; product</t>
        </is>
      </c>
      <c r="P37" t="inlineStr">
        <is>
          <t>Via Bupa innovation team; after UK evidence</t>
        </is>
      </c>
      <c r="R37" t="inlineStr">
        <is>
          <t>RESEARCHED</t>
        </is>
      </c>
      <c r="S37" t="inlineStr">
        <is>
          <t>10%</t>
        </is>
      </c>
      <c r="W37" t="inlineStr">
        <is>
          <t>Founder</t>
        </is>
      </c>
      <c r="X37" t="inlineStr">
        <is>
          <t>None</t>
        </is>
      </c>
      <c r="Y37" t="inlineStr">
        <is>
          <t>Pilot → commercial</t>
        </is>
      </c>
      <c r="Z37" t="inlineStr">
        <is>
          <t>Legitimate interest (B2B professional role) — TO VALIDATE</t>
        </is>
      </c>
    </row>
    <row r="38">
      <c r="A38" t="inlineStr">
        <is>
          <t>AXA Health (UK)</t>
        </is>
      </c>
      <c r="B38" t="inlineStr">
        <is>
          <t>UK</t>
        </is>
      </c>
      <c r="C38" t="inlineStr">
        <is>
          <t>Insurer</t>
        </is>
      </c>
      <c r="D38" t="inlineStr">
        <is>
          <t>6 Strategic</t>
        </is>
      </c>
      <c r="E38" t="inlineStr">
        <is>
          <t>NOT YET IDENTIFIED (title known)</t>
        </is>
      </c>
      <c r="F38" t="inlineStr">
        <is>
          <t>Head of Propositions / Partnerships</t>
        </is>
      </c>
      <c r="J38" t="inlineStr">
        <is>
          <t>Cold</t>
        </is>
      </c>
      <c r="K38" t="inlineStr">
        <is>
          <t>5</t>
        </is>
      </c>
      <c r="M38" t="inlineStr">
        <is>
          <t>Pilot conversation</t>
        </is>
      </c>
      <c r="N38" t="inlineStr">
        <is>
          <t>Continuity benefit</t>
        </is>
      </c>
      <c r="P38" t="inlineStr">
        <is>
          <t>Email</t>
        </is>
      </c>
      <c r="R38" t="inlineStr">
        <is>
          <t>RESEARCHED</t>
        </is>
      </c>
      <c r="S38" t="inlineStr">
        <is>
          <t>10%</t>
        </is>
      </c>
      <c r="W38" t="inlineStr">
        <is>
          <t>Founder</t>
        </is>
      </c>
      <c r="X38" t="inlineStr">
        <is>
          <t>None</t>
        </is>
      </c>
      <c r="Y38" t="inlineStr">
        <is>
          <t>Pilot</t>
        </is>
      </c>
      <c r="Z38" t="inlineStr">
        <is>
          <t>Legitimate interest (B2B professional role) — TO VALIDATE</t>
        </is>
      </c>
    </row>
    <row r="39">
      <c r="A39" t="inlineStr">
        <is>
          <t>Microsoft UK (Health &amp; Life Sciences) / Microsoft for Startups</t>
        </is>
      </c>
      <c r="B39" t="inlineStr">
        <is>
          <t>UK/US</t>
        </is>
      </c>
      <c r="C39" t="inlineStr">
        <is>
          <t>Technology</t>
        </is>
      </c>
      <c r="D39" t="inlineStr">
        <is>
          <t>2 Technology</t>
        </is>
      </c>
      <c r="E39" t="inlineStr">
        <is>
          <t>NOT YET IDENTIFIED (title known)</t>
        </is>
      </c>
      <c r="F39" t="inlineStr">
        <is>
          <t>Startup programme manager; Health industry lead</t>
        </is>
      </c>
      <c r="J39" t="inlineStr">
        <is>
          <t>Cold</t>
        </is>
      </c>
      <c r="K39" t="inlineStr">
        <is>
          <t>6</t>
        </is>
      </c>
      <c r="M39" t="inlineStr">
        <is>
          <t>Credits; architecture review; speech language support</t>
        </is>
      </c>
      <c r="N39" t="inlineStr">
        <is>
          <t>Reference case</t>
        </is>
      </c>
      <c r="P39" t="inlineStr">
        <is>
          <t>Apply to start-up programme; then industry lead</t>
        </is>
      </c>
      <c r="R39" t="inlineStr">
        <is>
          <t>RESEARCHED</t>
        </is>
      </c>
      <c r="S39" t="inlineStr">
        <is>
          <t>10%</t>
        </is>
      </c>
      <c r="W39" t="inlineStr">
        <is>
          <t>Founder</t>
        </is>
      </c>
      <c r="X39" t="inlineStr">
        <is>
          <t>None</t>
        </is>
      </c>
      <c r="Y39" t="inlineStr">
        <is>
          <t>Credits/partnership</t>
        </is>
      </c>
      <c r="Z39" t="inlineStr">
        <is>
          <t>Legitimate interest (B2B professional role) — TO VALIDATE</t>
        </is>
      </c>
    </row>
    <row r="40">
      <c r="A40" t="inlineStr">
        <is>
          <t>Amazon Web Services (AWS Activate / Healthcare)</t>
        </is>
      </c>
      <c r="B40" t="inlineStr">
        <is>
          <t>UK/US</t>
        </is>
      </c>
      <c r="C40" t="inlineStr">
        <is>
          <t>Technology</t>
        </is>
      </c>
      <c r="D40" t="inlineStr">
        <is>
          <t>2 Technology</t>
        </is>
      </c>
      <c r="E40" t="inlineStr">
        <is>
          <t>NOT YET IDENTIFIED (title known)</t>
        </is>
      </c>
      <c r="F40" t="inlineStr">
        <is>
          <t>Startup account manager; Healthcare BD</t>
        </is>
      </c>
      <c r="J40" t="inlineStr">
        <is>
          <t>Cold</t>
        </is>
      </c>
      <c r="K40" t="inlineStr">
        <is>
          <t>6</t>
        </is>
      </c>
      <c r="M40" t="inlineStr">
        <is>
          <t>Credits; solution architect time</t>
        </is>
      </c>
      <c r="N40" t="inlineStr">
        <is>
          <t>Reference</t>
        </is>
      </c>
      <c r="P40" t="inlineStr">
        <is>
          <t>Apply</t>
        </is>
      </c>
      <c r="R40" t="inlineStr">
        <is>
          <t>RESEARCHED</t>
        </is>
      </c>
      <c r="S40" t="inlineStr">
        <is>
          <t>10%</t>
        </is>
      </c>
      <c r="W40" t="inlineStr">
        <is>
          <t>Founder</t>
        </is>
      </c>
      <c r="X40" t="inlineStr">
        <is>
          <t>None</t>
        </is>
      </c>
      <c r="Y40" t="inlineStr">
        <is>
          <t>Credits</t>
        </is>
      </c>
      <c r="Z40" t="inlineStr">
        <is>
          <t>Legitimate interest (B2B professional role) — TO VALIDATE</t>
        </is>
      </c>
    </row>
    <row r="41">
      <c r="A41" t="inlineStr">
        <is>
          <t>Google Cloud for Startups / Google Health</t>
        </is>
      </c>
      <c r="B41" t="inlineStr">
        <is>
          <t>UK/US</t>
        </is>
      </c>
      <c r="C41" t="inlineStr">
        <is>
          <t>Technology</t>
        </is>
      </c>
      <c r="D41" t="inlineStr">
        <is>
          <t>2 Technology</t>
        </is>
      </c>
      <c r="E41" t="inlineStr">
        <is>
          <t>NOT YET IDENTIFIED (title known)</t>
        </is>
      </c>
      <c r="F41" t="inlineStr">
        <is>
          <t>Startup programme; Health partnerships</t>
        </is>
      </c>
      <c r="J41" t="inlineStr">
        <is>
          <t>Cold</t>
        </is>
      </c>
      <c r="K41" t="inlineStr">
        <is>
          <t>5</t>
        </is>
      </c>
      <c r="M41" t="inlineStr">
        <is>
          <t>Credits; language support</t>
        </is>
      </c>
      <c r="N41" t="inlineStr">
        <is>
          <t>Case study</t>
        </is>
      </c>
      <c r="P41" t="inlineStr">
        <is>
          <t>Apply</t>
        </is>
      </c>
      <c r="R41" t="inlineStr">
        <is>
          <t>RESEARCHED</t>
        </is>
      </c>
      <c r="S41" t="inlineStr">
        <is>
          <t>10%</t>
        </is>
      </c>
      <c r="W41" t="inlineStr">
        <is>
          <t>Founder</t>
        </is>
      </c>
      <c r="X41" t="inlineStr">
        <is>
          <t>None</t>
        </is>
      </c>
      <c r="Y41" t="inlineStr">
        <is>
          <t>Credits</t>
        </is>
      </c>
      <c r="Z41" t="inlineStr">
        <is>
          <t>Legitimate interest (B2B professional role) — TO VALIDATE</t>
        </is>
      </c>
    </row>
    <row r="42">
      <c r="A42" t="inlineStr">
        <is>
          <t>Vodafone Business (UK) / Vodacom (Africa)</t>
        </is>
      </c>
      <c r="B42" t="inlineStr">
        <is>
          <t>UK/Africa</t>
        </is>
      </c>
      <c r="C42" t="inlineStr">
        <is>
          <t>Telecom</t>
        </is>
      </c>
      <c r="D42" t="inlineStr">
        <is>
          <t>6 Strategic</t>
        </is>
      </c>
      <c r="E42" t="inlineStr">
        <is>
          <t>NOT YET IDENTIFIED (title known)</t>
        </is>
      </c>
      <c r="F42" t="inlineStr">
        <is>
          <t>Head of Health, Vodafone Business; Vodacom health lead</t>
        </is>
      </c>
      <c r="J42" t="inlineStr">
        <is>
          <t>Cold</t>
        </is>
      </c>
      <c r="K42" t="inlineStr">
        <is>
          <t>6</t>
        </is>
      </c>
      <c r="M42" t="inlineStr">
        <is>
          <t>Zero-rated maternity messaging; IoT SIMs for devices</t>
        </is>
      </c>
      <c r="N42" t="inlineStr">
        <is>
          <t>Programme scale</t>
        </is>
      </c>
      <c r="P42" t="inlineStr">
        <is>
          <t>Email health vertical lead</t>
        </is>
      </c>
      <c r="R42" t="inlineStr">
        <is>
          <t>RESEARCHED</t>
        </is>
      </c>
      <c r="S42" t="inlineStr">
        <is>
          <t>10%</t>
        </is>
      </c>
      <c r="W42" t="inlineStr">
        <is>
          <t>Founder</t>
        </is>
      </c>
      <c r="X42" t="inlineStr">
        <is>
          <t>None</t>
        </is>
      </c>
      <c r="Y42" t="inlineStr">
        <is>
          <t>Commercial</t>
        </is>
      </c>
      <c r="Z42" t="inlineStr">
        <is>
          <t>Legitimate interest (B2B professional role) — TO VALIDATE</t>
        </is>
      </c>
    </row>
    <row r="43">
      <c r="A43" t="inlineStr">
        <is>
          <t>Philips (Netherlands)</t>
        </is>
      </c>
      <c r="B43" t="inlineStr">
        <is>
          <t>Netherlands</t>
        </is>
      </c>
      <c r="C43" t="inlineStr">
        <is>
          <t>Medtech</t>
        </is>
      </c>
      <c r="D43" t="inlineStr">
        <is>
          <t>6 Strategic</t>
        </is>
      </c>
      <c r="E43" t="inlineStr">
        <is>
          <t>NOT YET IDENTIFIED (title known)</t>
        </is>
      </c>
      <c r="F43" t="inlineStr">
        <is>
          <t>Head of Partnerships, Hospital Patient Monitoring / Venture lead</t>
        </is>
      </c>
      <c r="J43" t="inlineStr">
        <is>
          <t>Cold</t>
        </is>
      </c>
      <c r="K43" t="inlineStr">
        <is>
          <t>5</t>
        </is>
      </c>
      <c r="M43" t="inlineStr">
        <is>
          <t>Interoperability; potential co-development later</t>
        </is>
      </c>
      <c r="N43" t="inlineStr">
        <is>
          <t>Continuity layer for their monitoring</t>
        </is>
      </c>
      <c r="P43" t="inlineStr">
        <is>
          <t>After UK evidence; via Philips Ventures</t>
        </is>
      </c>
      <c r="R43" t="inlineStr">
        <is>
          <t>RESEARCHED</t>
        </is>
      </c>
      <c r="S43" t="inlineStr">
        <is>
          <t>10%</t>
        </is>
      </c>
      <c r="W43" t="inlineStr">
        <is>
          <t>Founder</t>
        </is>
      </c>
      <c r="X43" t="inlineStr">
        <is>
          <t>None</t>
        </is>
      </c>
      <c r="Y43" t="inlineStr">
        <is>
          <t>Strategic (year 3)</t>
        </is>
      </c>
      <c r="Z43" t="inlineStr">
        <is>
          <t>Legitimate interest (B2B professional role) — TO VALIDATE</t>
        </is>
      </c>
    </row>
    <row r="44">
      <c r="A44" t="inlineStr">
        <is>
          <t>Erasmus MC (Rotterdam) — Obstetrics</t>
        </is>
      </c>
      <c r="B44" t="inlineStr">
        <is>
          <t>Netherlands</t>
        </is>
      </c>
      <c r="C44" t="inlineStr">
        <is>
          <t>Academic hospital</t>
        </is>
      </c>
      <c r="D44" t="inlineStr">
        <is>
          <t>3 Clinical</t>
        </is>
      </c>
      <c r="E44" t="inlineStr">
        <is>
          <t>NOT YET IDENTIFIED (title known)</t>
        </is>
      </c>
      <c r="F44" t="inlineStr">
        <is>
          <t>Head of Obstetrics research</t>
        </is>
      </c>
      <c r="J44" t="inlineStr">
        <is>
          <t>Cold</t>
        </is>
      </c>
      <c r="K44" t="inlineStr">
        <is>
          <t>4</t>
        </is>
      </c>
      <c r="M44" t="inlineStr">
        <is>
          <t>EU evaluation partner (year 3)</t>
        </is>
      </c>
      <c r="N44" t="inlineStr">
        <is>
          <t>Data; evaluation</t>
        </is>
      </c>
      <c r="P44" t="inlineStr">
        <is>
          <t>Later</t>
        </is>
      </c>
      <c r="R44" t="inlineStr">
        <is>
          <t>RESEARCHED</t>
        </is>
      </c>
      <c r="S44" t="inlineStr">
        <is>
          <t>10%</t>
        </is>
      </c>
      <c r="W44" t="inlineStr">
        <is>
          <t>Founder</t>
        </is>
      </c>
      <c r="X44" t="inlineStr">
        <is>
          <t>None</t>
        </is>
      </c>
      <c r="Y44" t="inlineStr">
        <is>
          <t>Research</t>
        </is>
      </c>
      <c r="Z44" t="inlineStr">
        <is>
          <t>Legitimate interest (B2B professional role) — TO VALIDATE</t>
        </is>
      </c>
    </row>
    <row r="45">
      <c r="A45" t="inlineStr">
        <is>
          <t>Karolinska Institutet (Stockholm)</t>
        </is>
      </c>
      <c r="B45" t="inlineStr">
        <is>
          <t>Sweden</t>
        </is>
      </c>
      <c r="C45" t="inlineStr">
        <is>
          <t>University</t>
        </is>
      </c>
      <c r="D45" t="inlineStr">
        <is>
          <t>4 Data</t>
        </is>
      </c>
      <c r="E45" t="inlineStr">
        <is>
          <t>NOT YET IDENTIFIED (title known)</t>
        </is>
      </c>
      <c r="F45" t="inlineStr">
        <is>
          <t>Professor of Obstetrics/Epidemiology</t>
        </is>
      </c>
      <c r="J45" t="inlineStr">
        <is>
          <t>Cold</t>
        </is>
      </c>
      <c r="K45" t="inlineStr">
        <is>
          <t>4</t>
        </is>
      </c>
      <c r="M45" t="inlineStr">
        <is>
          <t>Methods; Nordic entry</t>
        </is>
      </c>
      <c r="N45" t="inlineStr">
        <is>
          <t>Data collaboration</t>
        </is>
      </c>
      <c r="P45" t="inlineStr">
        <is>
          <t>Later</t>
        </is>
      </c>
      <c r="R45" t="inlineStr">
        <is>
          <t>RESEARCHED</t>
        </is>
      </c>
      <c r="S45" t="inlineStr">
        <is>
          <t>10%</t>
        </is>
      </c>
      <c r="W45" t="inlineStr">
        <is>
          <t>Founder</t>
        </is>
      </c>
      <c r="X45" t="inlineStr">
        <is>
          <t>None</t>
        </is>
      </c>
      <c r="Y45" t="inlineStr">
        <is>
          <t>Research</t>
        </is>
      </c>
      <c r="Z45" t="inlineStr">
        <is>
          <t>Legitimate interest (B2B professional role) — TO VALIDATE</t>
        </is>
      </c>
    </row>
    <row r="46">
      <c r="A46" t="inlineStr">
        <is>
          <t>Nina Capital</t>
        </is>
      </c>
      <c r="B46" t="inlineStr">
        <is>
          <t>Spain</t>
        </is>
      </c>
      <c r="C46" t="inlineStr">
        <is>
          <t>Health-tech VC</t>
        </is>
      </c>
      <c r="D46" t="inlineStr">
        <is>
          <t>7 Funding</t>
        </is>
      </c>
      <c r="E46" t="inlineStr">
        <is>
          <t>NOT YET IDENTIFIED (title known)</t>
        </is>
      </c>
      <c r="F46" t="inlineStr">
        <is>
          <t>Managing Partner / GP</t>
        </is>
      </c>
      <c r="J46" t="inlineStr">
        <is>
          <t>Cold</t>
        </is>
      </c>
      <c r="K46" t="inlineStr">
        <is>
          <t>7</t>
        </is>
      </c>
      <c r="M46" t="inlineStr">
        <is>
          <t>Investment conversation (seed)</t>
        </is>
      </c>
      <c r="N46" t="inlineStr">
        <is>
          <t>Deal</t>
        </is>
      </c>
      <c r="P46" t="inlineStr">
        <is>
          <t>Via warm intro after LOI</t>
        </is>
      </c>
      <c r="R46" t="inlineStr">
        <is>
          <t>RESEARCHED</t>
        </is>
      </c>
      <c r="S46" t="inlineStr">
        <is>
          <t>10%</t>
        </is>
      </c>
      <c r="W46" t="inlineStr">
        <is>
          <t>Founder</t>
        </is>
      </c>
      <c r="X46" t="inlineStr">
        <is>
          <t>None</t>
        </is>
      </c>
      <c r="Y46" t="inlineStr">
        <is>
          <t>Investment</t>
        </is>
      </c>
      <c r="Z46" t="inlineStr">
        <is>
          <t>Legitimate interest (B2B professional role) — TO VALIDATE</t>
        </is>
      </c>
    </row>
    <row r="47">
      <c r="A47" t="inlineStr">
        <is>
          <t>Heal Capital</t>
        </is>
      </c>
      <c r="B47" t="inlineStr">
        <is>
          <t>Germany</t>
        </is>
      </c>
      <c r="C47" t="inlineStr">
        <is>
          <t>Digital-health VC</t>
        </is>
      </c>
      <c r="D47" t="inlineStr">
        <is>
          <t>7 Funding</t>
        </is>
      </c>
      <c r="E47" t="inlineStr">
        <is>
          <t>NOT YET IDENTIFIED (title known)</t>
        </is>
      </c>
      <c r="F47" t="inlineStr">
        <is>
          <t>Partner</t>
        </is>
      </c>
      <c r="J47" t="inlineStr">
        <is>
          <t>Cold</t>
        </is>
      </c>
      <c r="K47" t="inlineStr">
        <is>
          <t>5</t>
        </is>
      </c>
      <c r="M47" t="inlineStr">
        <is>
          <t>Seed conversation</t>
        </is>
      </c>
      <c r="N47" t="inlineStr">
        <is>
          <t>Deal</t>
        </is>
      </c>
      <c r="P47" t="inlineStr">
        <is>
          <t>Warm intro</t>
        </is>
      </c>
      <c r="R47" t="inlineStr">
        <is>
          <t>RESEARCHED</t>
        </is>
      </c>
      <c r="S47" t="inlineStr">
        <is>
          <t>10%</t>
        </is>
      </c>
      <c r="W47" t="inlineStr">
        <is>
          <t>Founder</t>
        </is>
      </c>
      <c r="X47" t="inlineStr">
        <is>
          <t>None</t>
        </is>
      </c>
      <c r="Y47" t="inlineStr">
        <is>
          <t>Investment</t>
        </is>
      </c>
      <c r="Z47" t="inlineStr">
        <is>
          <t>Legitimate interest (B2B professional role) — TO VALIDATE</t>
        </is>
      </c>
    </row>
    <row r="48">
      <c r="A48" t="inlineStr">
        <is>
          <t>EIT Health</t>
        </is>
      </c>
      <c r="B48" t="inlineStr">
        <is>
          <t>EU</t>
        </is>
      </c>
      <c r="C48" t="inlineStr">
        <is>
          <t>Innovation network</t>
        </is>
      </c>
      <c r="D48" t="inlineStr">
        <is>
          <t>7 Funding</t>
        </is>
      </c>
      <c r="E48" t="inlineStr">
        <is>
          <t>NOT YET IDENTIFIED (title known)</t>
        </is>
      </c>
      <c r="F48" t="inlineStr">
        <is>
          <t>Programme manager UK/Ireland</t>
        </is>
      </c>
      <c r="J48" t="inlineStr">
        <is>
          <t>Cold</t>
        </is>
      </c>
      <c r="K48" t="inlineStr">
        <is>
          <t>4</t>
        </is>
      </c>
      <c r="M48" t="inlineStr">
        <is>
          <t>Programme participation</t>
        </is>
      </c>
      <c r="N48" t="inlineStr">
        <is>
          <t>Case</t>
        </is>
      </c>
      <c r="P48" t="inlineStr">
        <is>
          <t>Apply if eligible</t>
        </is>
      </c>
      <c r="R48" t="inlineStr">
        <is>
          <t>RESEARCHED</t>
        </is>
      </c>
      <c r="S48" t="inlineStr">
        <is>
          <t>10%</t>
        </is>
      </c>
      <c r="W48" t="inlineStr">
        <is>
          <t>Founder</t>
        </is>
      </c>
      <c r="X48" t="inlineStr">
        <is>
          <t>None</t>
        </is>
      </c>
      <c r="Y48" t="inlineStr">
        <is>
          <t>Programme</t>
        </is>
      </c>
      <c r="Z48" t="inlineStr">
        <is>
          <t>Legitimate interest (B2B professional role) — TO VALIDATE</t>
        </is>
      </c>
    </row>
    <row r="49">
      <c r="A49" t="inlineStr">
        <is>
          <t>March of Dimes</t>
        </is>
      </c>
      <c r="B49" t="inlineStr">
        <is>
          <t>US</t>
        </is>
      </c>
      <c r="C49" t="inlineStr">
        <is>
          <t>Foundation / NGO</t>
        </is>
      </c>
      <c r="D49" t="inlineStr">
        <is>
          <t>6 Strategic</t>
        </is>
      </c>
      <c r="E49" t="inlineStr">
        <is>
          <t>NOT YET IDENTIFIED (title known)</t>
        </is>
      </c>
      <c r="F49" t="inlineStr">
        <is>
          <t>Chief Innovation Officer / Innovation Fund lead</t>
        </is>
      </c>
      <c r="J49" t="inlineStr">
        <is>
          <t>Cold</t>
        </is>
      </c>
      <c r="K49" t="inlineStr">
        <is>
          <t>4</t>
        </is>
      </c>
      <c r="M49" t="inlineStr">
        <is>
          <t>US partner conversations (year 3)</t>
        </is>
      </c>
      <c r="N49" t="inlineStr">
        <is>
          <t>Evidence; platform</t>
        </is>
      </c>
      <c r="P49" t="inlineStr">
        <is>
          <t>Later</t>
        </is>
      </c>
      <c r="R49" t="inlineStr">
        <is>
          <t>RESEARCHED</t>
        </is>
      </c>
      <c r="S49" t="inlineStr">
        <is>
          <t>10%</t>
        </is>
      </c>
      <c r="W49" t="inlineStr">
        <is>
          <t>Founder</t>
        </is>
      </c>
      <c r="X49" t="inlineStr">
        <is>
          <t>None</t>
        </is>
      </c>
      <c r="Y49" t="inlineStr">
        <is>
          <t>Strategic</t>
        </is>
      </c>
      <c r="Z49" t="inlineStr">
        <is>
          <t>Legitimate interest (B2B professional role) — TO VALIDATE</t>
        </is>
      </c>
    </row>
    <row r="50">
      <c r="A50" t="inlineStr">
        <is>
          <t>Babyscripts</t>
        </is>
      </c>
      <c r="B50" t="inlineStr">
        <is>
          <t>US</t>
        </is>
      </c>
      <c r="C50" t="inlineStr">
        <is>
          <t>Competitor / benchmark</t>
        </is>
      </c>
      <c r="D50" t="inlineStr">
        <is>
          <t>5 Commercial</t>
        </is>
      </c>
      <c r="E50" t="inlineStr">
        <is>
          <t>NOT YET IDENTIFIED (title known)</t>
        </is>
      </c>
      <c r="F50" t="inlineStr">
        <is>
          <t>CEO / Head of Partnerships</t>
        </is>
      </c>
      <c r="J50" t="inlineStr">
        <is>
          <t>Cold</t>
        </is>
      </c>
      <c r="K50" t="inlineStr">
        <is>
          <t>4</t>
        </is>
      </c>
      <c r="M50" t="inlineStr">
        <is>
          <t>Benchmark; possible UK/Africa partnership</t>
        </is>
      </c>
      <c r="N50" t="inlineStr">
        <is>
          <t>Non-US markets</t>
        </is>
      </c>
      <c r="P50" t="inlineStr">
        <is>
          <t>Later, from strength</t>
        </is>
      </c>
      <c r="R50" t="inlineStr">
        <is>
          <t>RESEARCHED</t>
        </is>
      </c>
      <c r="S50" t="inlineStr">
        <is>
          <t>10%</t>
        </is>
      </c>
      <c r="W50" t="inlineStr">
        <is>
          <t>Founder</t>
        </is>
      </c>
      <c r="X50" t="inlineStr">
        <is>
          <t>None</t>
        </is>
      </c>
      <c r="Y50" t="inlineStr">
        <is>
          <t>Benchmark → partnership</t>
        </is>
      </c>
      <c r="Z50" t="inlineStr">
        <is>
          <t>Legitimate interest (B2B professional role) — TO VALIDATE</t>
        </is>
      </c>
    </row>
    <row r="51">
      <c r="A51" t="inlineStr">
        <is>
          <t>Mayo Clinic Platform</t>
        </is>
      </c>
      <c r="B51" t="inlineStr">
        <is>
          <t>US</t>
        </is>
      </c>
      <c r="C51" t="inlineStr">
        <is>
          <t>Health system platform</t>
        </is>
      </c>
      <c r="D51" t="inlineStr">
        <is>
          <t>6 Strategic</t>
        </is>
      </c>
      <c r="E51" t="inlineStr">
        <is>
          <t>NOT YET IDENTIFIED (title known)</t>
        </is>
      </c>
      <c r="F51" t="inlineStr">
        <is>
          <t>Platform partnerships lead</t>
        </is>
      </c>
      <c r="J51" t="inlineStr">
        <is>
          <t>Cold</t>
        </is>
      </c>
      <c r="K51" t="inlineStr">
        <is>
          <t>3</t>
        </is>
      </c>
      <c r="M51" t="inlineStr">
        <is>
          <t>Validation programme (year 3)</t>
        </is>
      </c>
      <c r="N51" t="inlineStr">
        <is>
          <t>Data model</t>
        </is>
      </c>
      <c r="P51" t="inlineStr">
        <is>
          <t>Later</t>
        </is>
      </c>
      <c r="R51" t="inlineStr">
        <is>
          <t>RESEARCHED</t>
        </is>
      </c>
      <c r="S51" t="inlineStr">
        <is>
          <t>10%</t>
        </is>
      </c>
      <c r="W51" t="inlineStr">
        <is>
          <t>Founder</t>
        </is>
      </c>
      <c r="X51" t="inlineStr">
        <is>
          <t>None</t>
        </is>
      </c>
      <c r="Y51" t="inlineStr">
        <is>
          <t>Strategic</t>
        </is>
      </c>
      <c r="Z51" t="inlineStr">
        <is>
          <t>Legitimate interest (B2B professional role) — TO VALIDATE</t>
        </is>
      </c>
    </row>
    <row r="52">
      <c r="A52" t="inlineStr">
        <is>
          <t>Rock Health</t>
        </is>
      </c>
      <c r="B52" t="inlineStr">
        <is>
          <t>US</t>
        </is>
      </c>
      <c r="C52" t="inlineStr">
        <is>
          <t>Fund / research</t>
        </is>
      </c>
      <c r="D52" t="inlineStr">
        <is>
          <t>7 Funding</t>
        </is>
      </c>
      <c r="E52" t="inlineStr">
        <is>
          <t>NOT YET IDENTIFIED (title known)</t>
        </is>
      </c>
      <c r="F52" t="inlineStr">
        <is>
          <t>Partner</t>
        </is>
      </c>
      <c r="J52" t="inlineStr">
        <is>
          <t>Cold</t>
        </is>
      </c>
      <c r="K52" t="inlineStr">
        <is>
          <t>4</t>
        </is>
      </c>
      <c r="M52" t="inlineStr">
        <is>
          <t>Seed conversation (US expansion)</t>
        </is>
      </c>
      <c r="N52" t="inlineStr">
        <is>
          <t>Deal</t>
        </is>
      </c>
      <c r="P52" t="inlineStr">
        <is>
          <t>Later</t>
        </is>
      </c>
      <c r="R52" t="inlineStr">
        <is>
          <t>RESEARCHED</t>
        </is>
      </c>
      <c r="S52" t="inlineStr">
        <is>
          <t>10%</t>
        </is>
      </c>
      <c r="W52" t="inlineStr">
        <is>
          <t>Founder</t>
        </is>
      </c>
      <c r="X52" t="inlineStr">
        <is>
          <t>None</t>
        </is>
      </c>
      <c r="Y52" t="inlineStr">
        <is>
          <t>Investment</t>
        </is>
      </c>
      <c r="Z52" t="inlineStr">
        <is>
          <t>Legitimate interest (B2B professional role) — TO VALIDATE</t>
        </is>
      </c>
    </row>
    <row r="53">
      <c r="A53" t="inlineStr">
        <is>
          <t>Maven Clinic</t>
        </is>
      </c>
      <c r="B53" t="inlineStr">
        <is>
          <t>US</t>
        </is>
      </c>
      <c r="C53" t="inlineStr">
        <is>
          <t>Virtual women's health</t>
        </is>
      </c>
      <c r="D53" t="inlineStr">
        <is>
          <t>5 Commercial</t>
        </is>
      </c>
      <c r="E53" t="inlineStr">
        <is>
          <t>NOT YET IDENTIFIED (title known)</t>
        </is>
      </c>
      <c r="F53" t="inlineStr">
        <is>
          <t>Head of Partnerships / International</t>
        </is>
      </c>
      <c r="J53" t="inlineStr">
        <is>
          <t>Cold</t>
        </is>
      </c>
      <c r="K53" t="inlineStr">
        <is>
          <t>3</t>
        </is>
      </c>
      <c r="M53" t="inlineStr">
        <is>
          <t>Partnership for continuity in non-US markets</t>
        </is>
      </c>
      <c r="N53" t="inlineStr">
        <is>
          <t>Platform</t>
        </is>
      </c>
      <c r="P53" t="inlineStr">
        <is>
          <t>Later</t>
        </is>
      </c>
      <c r="R53" t="inlineStr">
        <is>
          <t>RESEARCHED</t>
        </is>
      </c>
      <c r="S53" t="inlineStr">
        <is>
          <t>10%</t>
        </is>
      </c>
      <c r="W53" t="inlineStr">
        <is>
          <t>Founder</t>
        </is>
      </c>
      <c r="X53" t="inlineStr">
        <is>
          <t>None</t>
        </is>
      </c>
      <c r="Y53" t="inlineStr">
        <is>
          <t>Commercial</t>
        </is>
      </c>
      <c r="Z53" t="inlineStr">
        <is>
          <t>Legitimate interest (B2B professional role) — TO VALIDATE</t>
        </is>
      </c>
    </row>
    <row r="54">
      <c r="A54" t="inlineStr">
        <is>
          <t>mDoc Healthcare (Nigeria)</t>
        </is>
      </c>
      <c r="B54" t="inlineStr">
        <is>
          <t>Nigeria</t>
        </is>
      </c>
      <c r="C54" t="inlineStr">
        <is>
          <t>Digital-health company (incumbent in Ekiti/Lagos)</t>
        </is>
      </c>
      <c r="D54" t="inlineStr">
        <is>
          <t>5 Commercial</t>
        </is>
      </c>
      <c r="E54" t="inlineStr">
        <is>
          <t>NOT YET IDENTIFIED (title known)</t>
        </is>
      </c>
      <c r="F54" t="inlineStr">
        <is>
          <t>Founder &amp; CEO; Head of Partnerships</t>
        </is>
      </c>
      <c r="J54" t="inlineStr">
        <is>
          <t>Cold</t>
        </is>
      </c>
      <c r="K54" t="inlineStr">
        <is>
          <t>8</t>
        </is>
      </c>
      <c r="M54" t="inlineStr">
        <is>
          <t>Complementarity partnership: continuity record and facility-side coordination beneath their programme</t>
        </is>
      </c>
      <c r="N54" t="inlineStr">
        <is>
          <t>Interoperability; facility workflow; evidence</t>
        </is>
      </c>
      <c r="P54" t="inlineStr">
        <is>
          <t>Founder-to-founder email proposing complementarity, not competition</t>
        </is>
      </c>
      <c r="R54" t="inlineStr">
        <is>
          <t>RESEARCHED</t>
        </is>
      </c>
      <c r="S54" t="inlineStr">
        <is>
          <t>10%</t>
        </is>
      </c>
      <c r="W54" t="inlineStr">
        <is>
          <t>Founder</t>
        </is>
      </c>
      <c r="X54" t="inlineStr">
        <is>
          <t>None</t>
        </is>
      </c>
      <c r="Y54" t="inlineStr">
        <is>
          <t>MoU / partnership</t>
        </is>
      </c>
      <c r="Z54" t="inlineStr">
        <is>
          <t>Legitimate interest (B2B professional role) — TO VALIDATE</t>
        </is>
      </c>
    </row>
    <row r="55">
      <c r="A55" t="inlineStr">
        <is>
          <t>Society for Family Health (Nigeria)</t>
        </is>
      </c>
      <c r="B55" t="inlineStr">
        <is>
          <t>Nigeria</t>
        </is>
      </c>
      <c r="C55" t="inlineStr">
        <is>
          <t>NGO implementer</t>
        </is>
      </c>
      <c r="D55" t="inlineStr">
        <is>
          <t>1 Foundational</t>
        </is>
      </c>
      <c r="E55" t="inlineStr">
        <is>
          <t>NOT YET IDENTIFIED (title known)</t>
        </is>
      </c>
      <c r="F55" t="inlineStr">
        <is>
          <t>Managing Director; Director of Programmes (RMNCH)</t>
        </is>
      </c>
      <c r="J55" t="inlineStr">
        <is>
          <t>Cold</t>
        </is>
      </c>
      <c r="K55" t="inlineStr">
        <is>
          <t>8</t>
        </is>
      </c>
      <c r="M55" t="inlineStr">
        <is>
          <t>Cohort of 500–2,000 women; community health workers</t>
        </is>
      </c>
      <c r="N55" t="inlineStr">
        <is>
          <t>Free platform; training; evaluation</t>
        </is>
      </c>
      <c r="P55" t="inlineStr">
        <is>
          <t>Email programme director</t>
        </is>
      </c>
      <c r="R55" t="inlineStr">
        <is>
          <t>RESEARCHED</t>
        </is>
      </c>
      <c r="S55" t="inlineStr">
        <is>
          <t>10%</t>
        </is>
      </c>
      <c r="W55" t="inlineStr">
        <is>
          <t>Founder</t>
        </is>
      </c>
      <c r="X55" t="inlineStr">
        <is>
          <t>None</t>
        </is>
      </c>
      <c r="Y55" t="inlineStr">
        <is>
          <t>MoU + evaluation</t>
        </is>
      </c>
      <c r="Z55" t="inlineStr">
        <is>
          <t>Legitimate interest (B2B professional role) — TO VALIDATE</t>
        </is>
      </c>
    </row>
    <row r="56">
      <c r="A56" t="inlineStr">
        <is>
          <t>Jhpiego (Nigeria/Global)</t>
        </is>
      </c>
      <c r="B56" t="inlineStr">
        <is>
          <t>Nigeria/US</t>
        </is>
      </c>
      <c r="C56" t="inlineStr">
        <is>
          <t>NGO implementer</t>
        </is>
      </c>
      <c r="D56" t="inlineStr">
        <is>
          <t>1 Foundational</t>
        </is>
      </c>
      <c r="E56" t="inlineStr">
        <is>
          <t>NOT YET IDENTIFIED (title known)</t>
        </is>
      </c>
      <c r="F56" t="inlineStr">
        <is>
          <t>Country Director Nigeria; Director of Digital Health</t>
        </is>
      </c>
      <c r="J56" t="inlineStr">
        <is>
          <t>Cold</t>
        </is>
      </c>
      <c r="K56" t="inlineStr">
        <is>
          <t>8</t>
        </is>
      </c>
      <c r="M56" t="inlineStr">
        <is>
          <t>Technology-partner role in a funded programme</t>
        </is>
      </c>
      <c r="N56" t="inlineStr">
        <is>
          <t>Continuity layer; evaluation</t>
        </is>
      </c>
      <c r="P56" t="inlineStr">
        <is>
          <t>Email country office</t>
        </is>
      </c>
      <c r="R56" t="inlineStr">
        <is>
          <t>RESEARCHED</t>
        </is>
      </c>
      <c r="S56" t="inlineStr">
        <is>
          <t>10%</t>
        </is>
      </c>
      <c r="W56" t="inlineStr">
        <is>
          <t>Founder</t>
        </is>
      </c>
      <c r="X56" t="inlineStr">
        <is>
          <t>None</t>
        </is>
      </c>
      <c r="Y56" t="inlineStr">
        <is>
          <t>MoU / sub-contract</t>
        </is>
      </c>
      <c r="Z56" t="inlineStr">
        <is>
          <t>Legitimate interest (B2B professional role) — TO VALIDATE</t>
        </is>
      </c>
    </row>
    <row r="57">
      <c r="A57" t="inlineStr">
        <is>
          <t>Lagos State Ministry of Health / Lagos State PHC Board</t>
        </is>
      </c>
      <c r="B57" t="inlineStr">
        <is>
          <t>Nigeria</t>
        </is>
      </c>
      <c r="C57" t="inlineStr">
        <is>
          <t>State government</t>
        </is>
      </c>
      <c r="D57" t="inlineStr">
        <is>
          <t>5 Commercial</t>
        </is>
      </c>
      <c r="E57" t="inlineStr">
        <is>
          <t>NOT YET IDENTIFIED (title known)</t>
        </is>
      </c>
      <c r="F57" t="inlineStr">
        <is>
          <t>Commissioner for Health; Permanent Secretary; PHC Board ES</t>
        </is>
      </c>
      <c r="J57" t="inlineStr">
        <is>
          <t>Cold</t>
        </is>
      </c>
      <c r="K57" t="inlineStr">
        <is>
          <t>6</t>
        </is>
      </c>
      <c r="M57" t="inlineStr">
        <is>
          <t>Complementarity pilot with an implementer</t>
        </is>
      </c>
      <c r="N57" t="inlineStr">
        <is>
          <t>Continuity record; equity data</t>
        </is>
      </c>
      <c r="P57" t="inlineStr">
        <is>
          <t>Via implementer, never cold</t>
        </is>
      </c>
      <c r="R57" t="inlineStr">
        <is>
          <t>RESEARCHED</t>
        </is>
      </c>
      <c r="S57" t="inlineStr">
        <is>
          <t>10%</t>
        </is>
      </c>
      <c r="W57" t="inlineStr">
        <is>
          <t>Founder</t>
        </is>
      </c>
      <c r="X57" t="inlineStr">
        <is>
          <t>None</t>
        </is>
      </c>
      <c r="Y57" t="inlineStr">
        <is>
          <t>MoU</t>
        </is>
      </c>
      <c r="Z57" t="inlineStr">
        <is>
          <t>Legitimate interest (B2B professional role) — TO VALIDATE</t>
        </is>
      </c>
    </row>
    <row r="58">
      <c r="A58" t="inlineStr">
        <is>
          <t>Ekiti State Ministry of Health</t>
        </is>
      </c>
      <c r="B58" t="inlineStr">
        <is>
          <t>Nigeria</t>
        </is>
      </c>
      <c r="C58" t="inlineStr">
        <is>
          <t>State government</t>
        </is>
      </c>
      <c r="D58" t="inlineStr">
        <is>
          <t>5 Commercial</t>
        </is>
      </c>
      <c r="E58" t="inlineStr">
        <is>
          <t>NOT YET IDENTIFIED (title known)</t>
        </is>
      </c>
      <c r="F58" t="inlineStr">
        <is>
          <t>Commissioner for Health; Programme Manager for maternal health</t>
        </is>
      </c>
      <c r="J58" t="inlineStr">
        <is>
          <t>Cold</t>
        </is>
      </c>
      <c r="K58" t="inlineStr">
        <is>
          <t>6</t>
        </is>
      </c>
      <c r="M58" t="inlineStr">
        <is>
          <t>Re-scoped complementarity pilot</t>
        </is>
      </c>
      <c r="N58" t="inlineStr">
        <is>
          <t>Phased evidence pilot</t>
        </is>
      </c>
      <c r="P58" t="inlineStr">
        <is>
          <t>Reply with the re-scoped proposal</t>
        </is>
      </c>
      <c r="R58" t="inlineStr">
        <is>
          <t>RESEARCHED</t>
        </is>
      </c>
      <c r="S58" t="inlineStr">
        <is>
          <t>10%</t>
        </is>
      </c>
      <c r="V58" t="inlineStr">
        <is>
          <t>See FACTS_BASE</t>
        </is>
      </c>
      <c r="W58" t="inlineStr">
        <is>
          <t>Founder</t>
        </is>
      </c>
      <c r="X58" t="inlineStr">
        <is>
          <t>None</t>
        </is>
      </c>
      <c r="Y58" t="inlineStr">
        <is>
          <t>MoU</t>
        </is>
      </c>
      <c r="Z58" t="inlineStr">
        <is>
          <t>Legitimate interest (B2B professional role) — TO VALIDATE</t>
        </is>
      </c>
    </row>
    <row r="59">
      <c r="A59" t="inlineStr">
        <is>
          <t>NPHCDA (National Primary Health Care Development Agency)</t>
        </is>
      </c>
      <c r="B59" t="inlineStr">
        <is>
          <t>Nigeria</t>
        </is>
      </c>
      <c r="C59" t="inlineStr">
        <is>
          <t>National agency</t>
        </is>
      </c>
      <c r="D59" t="inlineStr">
        <is>
          <t>6 Strategic</t>
        </is>
      </c>
      <c r="E59" t="inlineStr">
        <is>
          <t>NOT YET IDENTIFIED (title known)</t>
        </is>
      </c>
      <c r="F59" t="inlineStr">
        <is>
          <t>Director of Community Health Services; Digital Health lead</t>
        </is>
      </c>
      <c r="J59" t="inlineStr">
        <is>
          <t>Cold</t>
        </is>
      </c>
      <c r="K59" t="inlineStr">
        <is>
          <t>5</t>
        </is>
      </c>
      <c r="M59" t="inlineStr">
        <is>
          <t>Awareness; alignment</t>
        </is>
      </c>
      <c r="N59" t="inlineStr">
        <is>
          <t>Continuity layer for PHCs</t>
        </is>
      </c>
      <c r="P59" t="inlineStr">
        <is>
          <t>Via implementer</t>
        </is>
      </c>
      <c r="R59" t="inlineStr">
        <is>
          <t>RESEARCHED</t>
        </is>
      </c>
      <c r="S59" t="inlineStr">
        <is>
          <t>10%</t>
        </is>
      </c>
      <c r="W59" t="inlineStr">
        <is>
          <t>Founder</t>
        </is>
      </c>
      <c r="X59" t="inlineStr">
        <is>
          <t>None</t>
        </is>
      </c>
      <c r="Y59" t="inlineStr">
        <is>
          <t>Engagement</t>
        </is>
      </c>
      <c r="Z59" t="inlineStr">
        <is>
          <t>Legitimate interest (B2B professional role) — TO VALIDATE</t>
        </is>
      </c>
    </row>
    <row r="60">
      <c r="A60" t="inlineStr">
        <is>
          <t>SOGON (Society of Gynaecology and Obstetrics of Nigeria)</t>
        </is>
      </c>
      <c r="B60" t="inlineStr">
        <is>
          <t>Nigeria</t>
        </is>
      </c>
      <c r="C60" t="inlineStr">
        <is>
          <t>Professional body</t>
        </is>
      </c>
      <c r="D60" t="inlineStr">
        <is>
          <t>3 Clinical</t>
        </is>
      </c>
      <c r="E60" t="inlineStr">
        <is>
          <t>NOT YET IDENTIFIED (title known)</t>
        </is>
      </c>
      <c r="F60" t="inlineStr">
        <is>
          <t>President; Secretary General</t>
        </is>
      </c>
      <c r="J60" t="inlineStr">
        <is>
          <t>Cold</t>
        </is>
      </c>
      <c r="K60" t="inlineStr">
        <is>
          <t>6</t>
        </is>
      </c>
      <c r="M60" t="inlineStr">
        <is>
          <t>Clinical review; champions</t>
        </is>
      </c>
      <c r="N60" t="inlineStr">
        <is>
          <t>Alignment</t>
        </is>
      </c>
      <c r="P60" t="inlineStr">
        <is>
          <t>Email; conference</t>
        </is>
      </c>
      <c r="R60" t="inlineStr">
        <is>
          <t>RESEARCHED</t>
        </is>
      </c>
      <c r="S60" t="inlineStr">
        <is>
          <t>10%</t>
        </is>
      </c>
      <c r="W60" t="inlineStr">
        <is>
          <t>Founder</t>
        </is>
      </c>
      <c r="X60" t="inlineStr">
        <is>
          <t>None</t>
        </is>
      </c>
      <c r="Y60" t="inlineStr">
        <is>
          <t>Engagement</t>
        </is>
      </c>
      <c r="Z60" t="inlineStr">
        <is>
          <t>Legitimate interest (B2B professional role) — TO VALIDATE</t>
        </is>
      </c>
    </row>
    <row r="61">
      <c r="A61" t="inlineStr">
        <is>
          <t>MTN Nigeria</t>
        </is>
      </c>
      <c r="B61" t="inlineStr">
        <is>
          <t>Nigeria</t>
        </is>
      </c>
      <c r="C61" t="inlineStr">
        <is>
          <t>Telecom</t>
        </is>
      </c>
      <c r="D61" t="inlineStr">
        <is>
          <t>6 Strategic</t>
        </is>
      </c>
      <c r="E61" t="inlineStr">
        <is>
          <t>NOT YET IDENTIFIED (title known)</t>
        </is>
      </c>
      <c r="F61" t="inlineStr">
        <is>
          <t>Head of Digital Services / CSR (MTN Foundation)</t>
        </is>
      </c>
      <c r="J61" t="inlineStr">
        <is>
          <t>Cold</t>
        </is>
      </c>
      <c r="K61" t="inlineStr">
        <is>
          <t>6</t>
        </is>
      </c>
      <c r="M61" t="inlineStr">
        <is>
          <t>Zero-rated messaging; USSD short code</t>
        </is>
      </c>
      <c r="N61" t="inlineStr">
        <is>
          <t>Programme scale; CSR</t>
        </is>
      </c>
      <c r="P61" t="inlineStr">
        <is>
          <t>Email foundation and digital services</t>
        </is>
      </c>
      <c r="R61" t="inlineStr">
        <is>
          <t>RESEARCHED</t>
        </is>
      </c>
      <c r="S61" t="inlineStr">
        <is>
          <t>10%</t>
        </is>
      </c>
      <c r="W61" t="inlineStr">
        <is>
          <t>Founder</t>
        </is>
      </c>
      <c r="X61" t="inlineStr">
        <is>
          <t>None</t>
        </is>
      </c>
      <c r="Y61" t="inlineStr">
        <is>
          <t>Commercial/CSR</t>
        </is>
      </c>
      <c r="Z61" t="inlineStr">
        <is>
          <t>Legitimate interest (B2B professional role) — TO VALIDATE</t>
        </is>
      </c>
    </row>
    <row r="62">
      <c r="A62" t="inlineStr">
        <is>
          <t>Airtel Africa</t>
        </is>
      </c>
      <c r="B62" t="inlineStr">
        <is>
          <t>Nigeria/pan-Africa</t>
        </is>
      </c>
      <c r="C62" t="inlineStr">
        <is>
          <t>Telecom</t>
        </is>
      </c>
      <c r="D62" t="inlineStr">
        <is>
          <t>6 Strategic</t>
        </is>
      </c>
      <c r="E62" t="inlineStr">
        <is>
          <t>NOT YET IDENTIFIED (title known)</t>
        </is>
      </c>
      <c r="F62" t="inlineStr">
        <is>
          <t>Head of Mobile Health / Partnerships</t>
        </is>
      </c>
      <c r="J62" t="inlineStr">
        <is>
          <t>Cold</t>
        </is>
      </c>
      <c r="K62" t="inlineStr">
        <is>
          <t>5</t>
        </is>
      </c>
      <c r="M62" t="inlineStr">
        <is>
          <t>Messaging; USSD</t>
        </is>
      </c>
      <c r="N62" t="inlineStr">
        <is>
          <t>Scale</t>
        </is>
      </c>
      <c r="P62" t="inlineStr">
        <is>
          <t>Email</t>
        </is>
      </c>
      <c r="R62" t="inlineStr">
        <is>
          <t>RESEARCHED</t>
        </is>
      </c>
      <c r="S62" t="inlineStr">
        <is>
          <t>10%</t>
        </is>
      </c>
      <c r="W62" t="inlineStr">
        <is>
          <t>Founder</t>
        </is>
      </c>
      <c r="X62" t="inlineStr">
        <is>
          <t>None</t>
        </is>
      </c>
      <c r="Y62" t="inlineStr">
        <is>
          <t>Commercial</t>
        </is>
      </c>
      <c r="Z62" t="inlineStr">
        <is>
          <t>Legitimate interest (B2B professional role) — TO VALIDATE</t>
        </is>
      </c>
    </row>
    <row r="63">
      <c r="A63" t="inlineStr">
        <is>
          <t>Safaricom (Kenya)</t>
        </is>
      </c>
      <c r="B63" t="inlineStr">
        <is>
          <t>Kenya</t>
        </is>
      </c>
      <c r="C63" t="inlineStr">
        <is>
          <t>Telecom</t>
        </is>
      </c>
      <c r="D63" t="inlineStr">
        <is>
          <t>6 Strategic</t>
        </is>
      </c>
      <c r="E63" t="inlineStr">
        <is>
          <t>NOT YET IDENTIFIED (title known)</t>
        </is>
      </c>
      <c r="F63" t="inlineStr">
        <is>
          <t>Head of Health, Safaricom / M-PESA partnerships</t>
        </is>
      </c>
      <c r="J63" t="inlineStr">
        <is>
          <t>Cold</t>
        </is>
      </c>
      <c r="K63" t="inlineStr">
        <is>
          <t>5</t>
        </is>
      </c>
      <c r="M63" t="inlineStr">
        <is>
          <t>Messaging; payments; distribution</t>
        </is>
      </c>
      <c r="N63" t="inlineStr">
        <is>
          <t>Kenya programme</t>
        </is>
      </c>
      <c r="P63" t="inlineStr">
        <is>
          <t>Later</t>
        </is>
      </c>
      <c r="R63" t="inlineStr">
        <is>
          <t>RESEARCHED</t>
        </is>
      </c>
      <c r="S63" t="inlineStr">
        <is>
          <t>10%</t>
        </is>
      </c>
      <c r="W63" t="inlineStr">
        <is>
          <t>Founder</t>
        </is>
      </c>
      <c r="X63" t="inlineStr">
        <is>
          <t>None</t>
        </is>
      </c>
      <c r="Y63" t="inlineStr">
        <is>
          <t>Commercial</t>
        </is>
      </c>
      <c r="Z63" t="inlineStr">
        <is>
          <t>Legitimate interest (B2B professional role) — TO VALIDATE</t>
        </is>
      </c>
    </row>
    <row r="64">
      <c r="A64" t="inlineStr">
        <is>
          <t>Jacaranda Health (Kenya)</t>
        </is>
      </c>
      <c r="B64" t="inlineStr">
        <is>
          <t>Kenya</t>
        </is>
      </c>
      <c r="C64" t="inlineStr">
        <is>
          <t>NGO / digital maternal health</t>
        </is>
      </c>
      <c r="D64" t="inlineStr">
        <is>
          <t>5 Commercial</t>
        </is>
      </c>
      <c r="E64" t="inlineStr">
        <is>
          <t>NOT YET IDENTIFIED (title known)</t>
        </is>
      </c>
      <c r="F64" t="inlineStr">
        <is>
          <t>CEO; Director of Technology</t>
        </is>
      </c>
      <c r="J64" t="inlineStr">
        <is>
          <t>Cold</t>
        </is>
      </c>
      <c r="K64" t="inlineStr">
        <is>
          <t>5</t>
        </is>
      </c>
      <c r="M64" t="inlineStr">
        <is>
          <t>Learning exchange; possible interoperability</t>
        </is>
      </c>
      <c r="N64" t="inlineStr">
        <is>
          <t>Continuity record for facility side</t>
        </is>
      </c>
      <c r="P64" t="inlineStr">
        <is>
          <t>Founder email</t>
        </is>
      </c>
      <c r="R64" t="inlineStr">
        <is>
          <t>RESEARCHED</t>
        </is>
      </c>
      <c r="S64" t="inlineStr">
        <is>
          <t>10%</t>
        </is>
      </c>
      <c r="W64" t="inlineStr">
        <is>
          <t>Founder</t>
        </is>
      </c>
      <c r="X64" t="inlineStr">
        <is>
          <t>None</t>
        </is>
      </c>
      <c r="Y64" t="inlineStr">
        <is>
          <t>Partnership</t>
        </is>
      </c>
      <c r="Z64" t="inlineStr">
        <is>
          <t>Legitimate interest (B2B professional role) — TO VALIDATE</t>
        </is>
      </c>
    </row>
    <row r="65">
      <c r="A65" t="inlineStr">
        <is>
          <t>Praekelt.org (MomConnect, South Africa)</t>
        </is>
      </c>
      <c r="B65" t="inlineStr">
        <is>
          <t>South Africa</t>
        </is>
      </c>
      <c r="C65" t="inlineStr">
        <is>
          <t>NGO / digital health</t>
        </is>
      </c>
      <c r="D65" t="inlineStr">
        <is>
          <t>5 Commercial</t>
        </is>
      </c>
      <c r="E65" t="inlineStr">
        <is>
          <t>NOT YET IDENTIFIED (title known)</t>
        </is>
      </c>
      <c r="F65" t="inlineStr">
        <is>
          <t>CEO; Head of Health</t>
        </is>
      </c>
      <c r="J65" t="inlineStr">
        <is>
          <t>Cold</t>
        </is>
      </c>
      <c r="K65" t="inlineStr">
        <is>
          <t>4</t>
        </is>
      </c>
      <c r="M65" t="inlineStr">
        <is>
          <t>Learning; interoperability</t>
        </is>
      </c>
      <c r="N65" t="inlineStr">
        <is>
          <t>Record layer</t>
        </is>
      </c>
      <c r="P65" t="inlineStr">
        <is>
          <t>Email</t>
        </is>
      </c>
      <c r="R65" t="inlineStr">
        <is>
          <t>RESEARCHED</t>
        </is>
      </c>
      <c r="S65" t="inlineStr">
        <is>
          <t>10%</t>
        </is>
      </c>
      <c r="W65" t="inlineStr">
        <is>
          <t>Founder</t>
        </is>
      </c>
      <c r="X65" t="inlineStr">
        <is>
          <t>None</t>
        </is>
      </c>
      <c r="Y65" t="inlineStr">
        <is>
          <t>Partnership</t>
        </is>
      </c>
      <c r="Z65" t="inlineStr">
        <is>
          <t>Legitimate interest (B2B professional role) — TO VALIDATE</t>
        </is>
      </c>
    </row>
    <row r="66">
      <c r="A66" t="inlineStr">
        <is>
          <t>PATH</t>
        </is>
      </c>
      <c r="B66" t="inlineStr">
        <is>
          <t>Global</t>
        </is>
      </c>
      <c r="C66" t="inlineStr">
        <is>
          <t>Global health NGO</t>
        </is>
      </c>
      <c r="D66" t="inlineStr">
        <is>
          <t>6 Strategic</t>
        </is>
      </c>
      <c r="E66" t="inlineStr">
        <is>
          <t>NOT YET IDENTIFIED (title known)</t>
        </is>
      </c>
      <c r="F66" t="inlineStr">
        <is>
          <t>Director of Digital Health / Country Director Nigeria</t>
        </is>
      </c>
      <c r="J66" t="inlineStr">
        <is>
          <t>Cold</t>
        </is>
      </c>
      <c r="K66" t="inlineStr">
        <is>
          <t>5</t>
        </is>
      </c>
      <c r="M66" t="inlineStr">
        <is>
          <t>Digital-health advisory; programme partnership</t>
        </is>
      </c>
      <c r="N66" t="inlineStr">
        <is>
          <t>Evidence</t>
        </is>
      </c>
      <c r="P66" t="inlineStr">
        <is>
          <t>Email</t>
        </is>
      </c>
      <c r="R66" t="inlineStr">
        <is>
          <t>RESEARCHED</t>
        </is>
      </c>
      <c r="S66" t="inlineStr">
        <is>
          <t>10%</t>
        </is>
      </c>
      <c r="W66" t="inlineStr">
        <is>
          <t>Founder</t>
        </is>
      </c>
      <c r="X66" t="inlineStr">
        <is>
          <t>None</t>
        </is>
      </c>
      <c r="Y66" t="inlineStr">
        <is>
          <t>Partnership</t>
        </is>
      </c>
      <c r="Z66" t="inlineStr">
        <is>
          <t>Legitimate interest (B2B professional role) — TO VALIDATE</t>
        </is>
      </c>
    </row>
    <row r="67">
      <c r="A67" t="inlineStr">
        <is>
          <t>UNICEF Nigeria (Health) / UNICEF Innovation</t>
        </is>
      </c>
      <c r="B67" t="inlineStr">
        <is>
          <t>Nigeria/Global</t>
        </is>
      </c>
      <c r="C67" t="inlineStr">
        <is>
          <t>UN agency</t>
        </is>
      </c>
      <c r="D67" t="inlineStr">
        <is>
          <t>6 Strategic</t>
        </is>
      </c>
      <c r="E67" t="inlineStr">
        <is>
          <t>NOT YET IDENTIFIED (title known)</t>
        </is>
      </c>
      <c r="F67" t="inlineStr">
        <is>
          <t>Chief of Health; Innovation Fund manager</t>
        </is>
      </c>
      <c r="J67" t="inlineStr">
        <is>
          <t>Cold</t>
        </is>
      </c>
      <c r="K67" t="inlineStr">
        <is>
          <t>5</t>
        </is>
      </c>
      <c r="M67" t="inlineStr">
        <is>
          <t>Programme alignment; innovation fund application</t>
        </is>
      </c>
      <c r="N67" t="inlineStr">
        <is>
          <t>Continuity tools</t>
        </is>
      </c>
      <c r="P67" t="inlineStr">
        <is>
          <t>Apply; programme contact via implementer</t>
        </is>
      </c>
      <c r="R67" t="inlineStr">
        <is>
          <t>RESEARCHED</t>
        </is>
      </c>
      <c r="S67" t="inlineStr">
        <is>
          <t>10%</t>
        </is>
      </c>
      <c r="W67" t="inlineStr">
        <is>
          <t>Founder</t>
        </is>
      </c>
      <c r="X67" t="inlineStr">
        <is>
          <t>None</t>
        </is>
      </c>
      <c r="Y67" t="inlineStr">
        <is>
          <t>Programme/funding</t>
        </is>
      </c>
      <c r="Z67" t="inlineStr">
        <is>
          <t>Legitimate interest (B2B professional role) — TO VALIDATE</t>
        </is>
      </c>
    </row>
    <row r="68">
      <c r="A68" t="inlineStr">
        <is>
          <t>Bill &amp; Melinda Gates Foundation (Maternal, Newborn &amp; Child Health)</t>
        </is>
      </c>
      <c r="B68" t="inlineStr">
        <is>
          <t>US/Global</t>
        </is>
      </c>
      <c r="C68" t="inlineStr">
        <is>
          <t>Foundation</t>
        </is>
      </c>
      <c r="D68" t="inlineStr">
        <is>
          <t>7 Funding</t>
        </is>
      </c>
      <c r="E68" t="inlineStr">
        <is>
          <t>NOT YET IDENTIFIED (title known)</t>
        </is>
      </c>
      <c r="F68" t="inlineStr">
        <is>
          <t>Program Officer, MNCH / Digital Health</t>
        </is>
      </c>
      <c r="J68" t="inlineStr">
        <is>
          <t>Cold</t>
        </is>
      </c>
      <c r="K68" t="inlineStr">
        <is>
          <t>6</t>
        </is>
      </c>
      <c r="M68" t="inlineStr">
        <is>
          <t>Grant for low-resource validation (via partner)</t>
        </is>
      </c>
      <c r="N68" t="inlineStr">
        <is>
          <t>Evidence; cohort</t>
        </is>
      </c>
      <c r="P68" t="inlineStr">
        <is>
          <t>Via implementer or Grand Challenges routes</t>
        </is>
      </c>
      <c r="R68" t="inlineStr">
        <is>
          <t>RESEARCHED</t>
        </is>
      </c>
      <c r="S68" t="inlineStr">
        <is>
          <t>10%</t>
        </is>
      </c>
      <c r="W68" t="inlineStr">
        <is>
          <t>Founder</t>
        </is>
      </c>
      <c r="X68" t="inlineStr">
        <is>
          <t>None</t>
        </is>
      </c>
      <c r="Y68" t="inlineStr">
        <is>
          <t>Grant (via implementer)</t>
        </is>
      </c>
      <c r="Z68" t="inlineStr">
        <is>
          <t>Legitimate interest (B2B professional role) — TO VALIDATE</t>
        </is>
      </c>
    </row>
    <row r="69">
      <c r="A69" t="inlineStr">
        <is>
          <t>MSD for Mothers</t>
        </is>
      </c>
      <c r="B69" t="inlineStr">
        <is>
          <t>US/Global</t>
        </is>
      </c>
      <c r="C69" t="inlineStr">
        <is>
          <t>Corporate initiative</t>
        </is>
      </c>
      <c r="D69" t="inlineStr">
        <is>
          <t>7 Funding</t>
        </is>
      </c>
      <c r="E69" t="inlineStr">
        <is>
          <t>NOT YET IDENTIFIED (title known)</t>
        </is>
      </c>
      <c r="F69" t="inlineStr">
        <is>
          <t>Director, MSD for Mothers (UK/Africa lead)</t>
        </is>
      </c>
      <c r="J69" t="inlineStr">
        <is>
          <t>Cold</t>
        </is>
      </c>
      <c r="K69" t="inlineStr">
        <is>
          <t>7</t>
        </is>
      </c>
      <c r="M69" t="inlineStr">
        <is>
          <t>Programme funding; introductions</t>
        </is>
      </c>
      <c r="N69" t="inlineStr">
        <is>
          <t>Continuity layer for funded programmes</t>
        </is>
      </c>
      <c r="P69" t="inlineStr">
        <is>
          <t>Email with complementarity to mDoc</t>
        </is>
      </c>
      <c r="R69" t="inlineStr">
        <is>
          <t>RESEARCHED</t>
        </is>
      </c>
      <c r="S69" t="inlineStr">
        <is>
          <t>10%</t>
        </is>
      </c>
      <c r="W69" t="inlineStr">
        <is>
          <t>Founder</t>
        </is>
      </c>
      <c r="X69" t="inlineStr">
        <is>
          <t>None</t>
        </is>
      </c>
      <c r="Y69" t="inlineStr">
        <is>
          <t>Grant/programme</t>
        </is>
      </c>
      <c r="Z69" t="inlineStr">
        <is>
          <t>Legitimate interest (B2B professional role) — TO VALIDATE</t>
        </is>
      </c>
    </row>
    <row r="70">
      <c r="A70" t="inlineStr">
        <is>
          <t>Grand Challenges Canada</t>
        </is>
      </c>
      <c r="B70" t="inlineStr">
        <is>
          <t>Canada/Global</t>
        </is>
      </c>
      <c r="C70" t="inlineStr">
        <is>
          <t>Funder</t>
        </is>
      </c>
      <c r="D70" t="inlineStr">
        <is>
          <t>7 Funding</t>
        </is>
      </c>
      <c r="E70" t="inlineStr">
        <is>
          <t>NOT YET IDENTIFIED (title known)</t>
        </is>
      </c>
      <c r="F70" t="inlineStr">
        <is>
          <t>Program lead, Global Health</t>
        </is>
      </c>
      <c r="J70" t="inlineStr">
        <is>
          <t>Cold</t>
        </is>
      </c>
      <c r="K70" t="inlineStr">
        <is>
          <t>7</t>
        </is>
      </c>
      <c r="M70" t="inlineStr">
        <is>
          <t>Application when call opens</t>
        </is>
      </c>
      <c r="N70" t="inlineStr">
        <is>
          <t>Evidence plan</t>
        </is>
      </c>
      <c r="P70" t="inlineStr">
        <is>
          <t>Apply</t>
        </is>
      </c>
      <c r="R70" t="inlineStr">
        <is>
          <t>RESEARCHED</t>
        </is>
      </c>
      <c r="S70" t="inlineStr">
        <is>
          <t>10%</t>
        </is>
      </c>
      <c r="W70" t="inlineStr">
        <is>
          <t>Founder</t>
        </is>
      </c>
      <c r="X70" t="inlineStr">
        <is>
          <t>None</t>
        </is>
      </c>
      <c r="Y70" t="inlineStr">
        <is>
          <t>Grant</t>
        </is>
      </c>
      <c r="Z70" t="inlineStr">
        <is>
          <t>Legitimate interest (B2B professional role) — TO VALIDATE</t>
        </is>
      </c>
    </row>
    <row r="71">
      <c r="A71" t="inlineStr">
        <is>
          <t>Fondation Botnar</t>
        </is>
      </c>
      <c r="B71" t="inlineStr">
        <is>
          <t>Switzerland</t>
        </is>
      </c>
      <c r="C71" t="inlineStr">
        <is>
          <t>Foundation</t>
        </is>
      </c>
      <c r="D71" t="inlineStr">
        <is>
          <t>7 Funding</t>
        </is>
      </c>
      <c r="E71" t="inlineStr">
        <is>
          <t>NOT YET IDENTIFIED (title known)</t>
        </is>
      </c>
      <c r="F71" t="inlineStr">
        <is>
          <t>Programme Manager</t>
        </is>
      </c>
      <c r="J71" t="inlineStr">
        <is>
          <t>Cold</t>
        </is>
      </c>
      <c r="K71" t="inlineStr">
        <is>
          <t>5</t>
        </is>
      </c>
      <c r="M71" t="inlineStr">
        <is>
          <t>Programme funding</t>
        </is>
      </c>
      <c r="N71" t="inlineStr">
        <is>
          <t>Evidence</t>
        </is>
      </c>
      <c r="P71" t="inlineStr">
        <is>
          <t>Apply</t>
        </is>
      </c>
      <c r="R71" t="inlineStr">
        <is>
          <t>RESEARCHED</t>
        </is>
      </c>
      <c r="S71" t="inlineStr">
        <is>
          <t>10%</t>
        </is>
      </c>
      <c r="W71" t="inlineStr">
        <is>
          <t>Founder</t>
        </is>
      </c>
      <c r="X71" t="inlineStr">
        <is>
          <t>None</t>
        </is>
      </c>
      <c r="Y71" t="inlineStr">
        <is>
          <t>Grant</t>
        </is>
      </c>
      <c r="Z71" t="inlineStr">
        <is>
          <t>Legitimate interest (B2B professional role) — TO VALIDATE</t>
        </is>
      </c>
    </row>
    <row r="72">
      <c r="A72" t="inlineStr">
        <is>
          <t>Children's Investment Fund Foundation (CIFF)</t>
        </is>
      </c>
      <c r="B72" t="inlineStr">
        <is>
          <t>UK/Global</t>
        </is>
      </c>
      <c r="C72" t="inlineStr">
        <is>
          <t>Foundation</t>
        </is>
      </c>
      <c r="D72" t="inlineStr">
        <is>
          <t>7 Funding</t>
        </is>
      </c>
      <c r="E72" t="inlineStr">
        <is>
          <t>NOT YET IDENTIFIED (title known)</t>
        </is>
      </c>
      <c r="F72" t="inlineStr">
        <is>
          <t>Director, Maternal &amp; Child Health</t>
        </is>
      </c>
      <c r="J72" t="inlineStr">
        <is>
          <t>Cold</t>
        </is>
      </c>
      <c r="K72" t="inlineStr">
        <is>
          <t>4</t>
        </is>
      </c>
      <c r="M72" t="inlineStr">
        <is>
          <t>Programme funding via partners</t>
        </is>
      </c>
      <c r="N72" t="inlineStr">
        <is>
          <t>Evidence</t>
        </is>
      </c>
      <c r="P72" t="inlineStr">
        <is>
          <t>Via implementer</t>
        </is>
      </c>
      <c r="R72" t="inlineStr">
        <is>
          <t>RESEARCHED</t>
        </is>
      </c>
      <c r="S72" t="inlineStr">
        <is>
          <t>10%</t>
        </is>
      </c>
      <c r="W72" t="inlineStr">
        <is>
          <t>Founder</t>
        </is>
      </c>
      <c r="X72" t="inlineStr">
        <is>
          <t>None</t>
        </is>
      </c>
      <c r="Y72" t="inlineStr">
        <is>
          <t>Grant (via partner)</t>
        </is>
      </c>
      <c r="Z72" t="inlineStr">
        <is>
          <t>Legitimate interest (B2B professional role) — TO VALIDATE</t>
        </is>
      </c>
    </row>
    <row r="73">
      <c r="A73" t="inlineStr">
        <is>
          <t>Roche Diagnostics (UK / Global)</t>
        </is>
      </c>
      <c r="B73" t="inlineStr">
        <is>
          <t>UK/Switzerland</t>
        </is>
      </c>
      <c r="C73" t="inlineStr">
        <is>
          <t>Diagnostics</t>
        </is>
      </c>
      <c r="D73" t="inlineStr">
        <is>
          <t>6 Strategic</t>
        </is>
      </c>
      <c r="E73" t="inlineStr">
        <is>
          <t>NOT YET IDENTIFIED (title known)</t>
        </is>
      </c>
      <c r="F73" t="inlineStr">
        <is>
          <t>Medical Affairs Lead, Women's Health; Head of Market Access UK</t>
        </is>
      </c>
      <c r="J73" t="inlineStr">
        <is>
          <t>Cold</t>
        </is>
      </c>
      <c r="K73" t="inlineStr">
        <is>
          <t>7</t>
        </is>
      </c>
      <c r="M73" t="inlineStr">
        <is>
          <t>Pathway alignment; later co-development of a home-monitoring-to-test pathway</t>
        </is>
      </c>
      <c r="N73" t="inlineStr">
        <is>
          <t>Pathway data; adherence</t>
        </is>
      </c>
      <c r="P73" t="inlineStr">
        <is>
          <t>Medical affairs email after first LOI</t>
        </is>
      </c>
      <c r="R73" t="inlineStr">
        <is>
          <t>RESEARCHED</t>
        </is>
      </c>
      <c r="S73" t="inlineStr">
        <is>
          <t>10%</t>
        </is>
      </c>
      <c r="W73" t="inlineStr">
        <is>
          <t>Founder</t>
        </is>
      </c>
      <c r="X73" t="inlineStr">
        <is>
          <t>None</t>
        </is>
      </c>
      <c r="Y73" t="inlineStr">
        <is>
          <t>Co-development (year 2)</t>
        </is>
      </c>
      <c r="Z73" t="inlineStr">
        <is>
          <t>Legitimate interest (B2B professional role) — TO VALIDATE</t>
        </is>
      </c>
    </row>
    <row r="74">
      <c r="A74" t="inlineStr">
        <is>
          <t>Ferring Pharmaceuticals</t>
        </is>
      </c>
      <c r="B74" t="inlineStr">
        <is>
          <t>Switzerland/UK</t>
        </is>
      </c>
      <c r="C74" t="inlineStr">
        <is>
          <t>Pharma</t>
        </is>
      </c>
      <c r="D74" t="inlineStr">
        <is>
          <t>6 Strategic</t>
        </is>
      </c>
      <c r="E74" t="inlineStr">
        <is>
          <t>NOT YET IDENTIFIED (title known)</t>
        </is>
      </c>
      <c r="F74" t="inlineStr">
        <is>
          <t>Medical Affairs, Women's Health</t>
        </is>
      </c>
      <c r="J74" t="inlineStr">
        <is>
          <t>Cold</t>
        </is>
      </c>
      <c r="K74" t="inlineStr">
        <is>
          <t>4</t>
        </is>
      </c>
      <c r="M74" t="inlineStr">
        <is>
          <t>Programme partnership (postpartum)</t>
        </is>
      </c>
      <c r="N74" t="inlineStr">
        <is>
          <t>RWE</t>
        </is>
      </c>
      <c r="P74" t="inlineStr">
        <is>
          <t>Later</t>
        </is>
      </c>
      <c r="R74" t="inlineStr">
        <is>
          <t>RESEARCHED</t>
        </is>
      </c>
      <c r="S74" t="inlineStr">
        <is>
          <t>10%</t>
        </is>
      </c>
      <c r="W74" t="inlineStr">
        <is>
          <t>Founder</t>
        </is>
      </c>
      <c r="X74" t="inlineStr">
        <is>
          <t>None</t>
        </is>
      </c>
      <c r="Y74" t="inlineStr">
        <is>
          <t>Strategic (year 2–3)</t>
        </is>
      </c>
      <c r="Z74" t="inlineStr">
        <is>
          <t>Legitimate interest (B2B professional role) — TO VALIDATE</t>
        </is>
      </c>
    </row>
    <row r="75">
      <c r="A75" t="inlineStr">
        <is>
          <t>Organon</t>
        </is>
      </c>
      <c r="B75" t="inlineStr">
        <is>
          <t>US/UK</t>
        </is>
      </c>
      <c r="C75" t="inlineStr">
        <is>
          <t>Pharma (women's health)</t>
        </is>
      </c>
      <c r="D75" t="inlineStr">
        <is>
          <t>6 Strategic</t>
        </is>
      </c>
      <c r="E75" t="inlineStr">
        <is>
          <t>NOT YET IDENTIFIED (title known)</t>
        </is>
      </c>
      <c r="F75" t="inlineStr">
        <is>
          <t>Head of Medical Affairs UK; Partnerships</t>
        </is>
      </c>
      <c r="J75" t="inlineStr">
        <is>
          <t>Cold</t>
        </is>
      </c>
      <c r="K75" t="inlineStr">
        <is>
          <t>4</t>
        </is>
      </c>
      <c r="M75" t="inlineStr">
        <is>
          <t>Postpartum programme; RWE</t>
        </is>
      </c>
      <c r="N75" t="inlineStr">
        <is>
          <t>Cohort access under governance</t>
        </is>
      </c>
      <c r="P75" t="inlineStr">
        <is>
          <t>Later</t>
        </is>
      </c>
      <c r="R75" t="inlineStr">
        <is>
          <t>RESEARCHED</t>
        </is>
      </c>
      <c r="S75" t="inlineStr">
        <is>
          <t>10%</t>
        </is>
      </c>
      <c r="W75" t="inlineStr">
        <is>
          <t>Founder</t>
        </is>
      </c>
      <c r="X75" t="inlineStr">
        <is>
          <t>None</t>
        </is>
      </c>
      <c r="Y75" t="inlineStr">
        <is>
          <t>Strategic (year 2–3)</t>
        </is>
      </c>
      <c r="Z75" t="inlineStr">
        <is>
          <t>Legitimate interest (B2B professional role) — TO VALIDATE</t>
        </is>
      </c>
    </row>
    <row r="76">
      <c r="A76" t="inlineStr">
        <is>
          <t>MamaDoc (Dr Yusuf Shittu, co-founder and CEO)</t>
        </is>
      </c>
      <c r="B76" t="inlineStr">
        <is>
          <t>UK</t>
        </is>
      </c>
      <c r="C76" t="inlineStr">
        <is>
          <t>Community / education provider — and adjacent builder</t>
        </is>
      </c>
      <c r="D76" t="inlineStr">
        <is>
          <t>2 Clinical</t>
        </is>
      </c>
      <c r="E76" t="inlineStr">
        <is>
          <t>Dr Yusuf Shittu</t>
        </is>
      </c>
      <c r="F76" t="inlineStr">
        <is>
          <t>NHS GP (MBBS MSc MRCGP); co-founder and CEO of MamaDoc; NHS Clinical Entrepreneur Programme; Imperial College London</t>
        </is>
      </c>
      <c r="G76" t="inlineStr">
        <is>
          <t>uk.linkedin.com — profile confirmed, URL slug TO CONFIRM</t>
        </is>
      </c>
      <c r="H76" t="inlineStr">
        <is>
          <t>EMAIL NOT PUBLICLY AVAILABLE</t>
        </is>
      </c>
      <c r="I76" t="inlineStr">
        <is>
          <t>PHONE NOT PUBLICLY AVAILABLE</t>
        </is>
      </c>
      <c r="J76" t="inlineStr">
        <is>
          <t>Met in person</t>
        </is>
      </c>
      <c r="K76" t="inlineStr">
        <is>
          <t>8</t>
        </is>
      </c>
      <c r="L76" t="inlineStr">
        <is>
          <t>Reaches and is trusted by the exact women in the national reports. Consumer front door to a clinical system. Also building in maternity, so treat as adjacent, not safe</t>
        </is>
      </c>
      <c r="M76" t="inlineStr">
        <is>
          <t>A working relationship: MamaDoc as the woman-facing front door, MaternaLink as the clinical back end. Not his time as a safety officer — he runs his own company</t>
        </is>
      </c>
      <c r="N76" t="inlineStr">
        <is>
          <t>Hospital-facing distribution he does not have; a clinical record his community content can sit against</t>
        </is>
      </c>
      <c r="O76" t="inlineStr">
        <is>
          <t>22 Sep 2026 — APPG on Black Maternal Health, Committee Room 10</t>
        </is>
      </c>
      <c r="P76" t="inlineStr">
        <is>
          <t>Connect on LinkedIn same evening quoting something specific he said; then a 20-minute call</t>
        </is>
      </c>
      <c r="R76" t="inlineStr">
        <is>
          <t>1 Identified</t>
        </is>
      </c>
      <c r="U76" t="inlineStr">
        <is>
          <t>Co-founded with Dr Nimat, based in Leicester. WhatsApp-first support, antenatal classes, migrant and Black/Brown parents. DO NOT share roadmap, module list, pricing or the government strategy on a first meeting. He is not a competitor today but he is one feature away from being one</t>
        </is>
      </c>
      <c r="V76" t="inlineStr">
        <is>
          <t>Met in person at a public parliamentary event, 22 Sep 2026</t>
        </is>
      </c>
      <c r="W76" t="inlineStr">
        <is>
          <t>Founder</t>
        </is>
      </c>
      <c r="X76" t="inlineStr">
        <is>
          <t>None</t>
        </is>
      </c>
      <c r="Y76" t="inlineStr">
        <is>
          <t>Adviser (unpaid first call)</t>
        </is>
      </c>
      <c r="Z76" t="inlineStr">
        <is>
          <t>Met in person and exchanged details at a professional event — he can opt out at any time</t>
        </is>
      </c>
    </row>
    <row r="77">
      <c r="A77" t="inlineStr">
        <is>
          <t>MamaDoc (organisation)</t>
        </is>
      </c>
      <c r="B77" t="inlineStr">
        <is>
          <t>UK</t>
        </is>
      </c>
      <c r="C77" t="inlineStr">
        <is>
          <t>Community / education provider</t>
        </is>
      </c>
      <c r="D77" t="inlineStr">
        <is>
          <t>2 Clinical</t>
        </is>
      </c>
      <c r="E77" t="inlineStr">
        <is>
          <t>Dr Yusuf Shittu (co-founder, CEO) and Dr Nimat (co-founder)</t>
        </is>
      </c>
      <c r="F77" t="inlineStr">
        <is>
          <t>NHS GP; co-founders</t>
        </is>
      </c>
      <c r="G77" t="inlineStr">
        <is>
          <t>mamadoc.co.uk</t>
        </is>
      </c>
      <c r="H77" t="inlineStr">
        <is>
          <t>EMAIL NOT PUBLICLY AVAILABLE</t>
        </is>
      </c>
      <c r="I77" t="inlineStr">
        <is>
          <t>PHONE NOT PUBLICLY AVAILABLE</t>
        </is>
      </c>
      <c r="J77" t="inlineStr">
        <is>
          <t>Met a founder in person</t>
        </is>
      </c>
      <c r="K77" t="inlineStr">
        <is>
          <t>8</t>
        </is>
      </c>
      <c r="L77" t="inlineStr">
        <is>
          <t>Trust and reach among Black, Brown and migrant parents. Antenatal classes and WhatsApp support. The demand side of the problem you are solving from the supply side</t>
        </is>
      </c>
      <c r="M77" t="inlineStr">
        <is>
          <t>A referral or integration relationship; their read on what women actually ask for</t>
        </is>
      </c>
      <c r="N77" t="inlineStr">
        <is>
          <t>A clinical system their community can be handed into; hospital routes they do not sell to</t>
        </is>
      </c>
      <c r="O77" t="inlineStr">
        <is>
          <t>22 Sep 2026 — met Dr Shittu at the APPG</t>
        </is>
      </c>
      <c r="P77" t="inlineStr">
        <is>
          <t>Read mamadoc.co.uk properly before any second conversation</t>
        </is>
      </c>
      <c r="Q77" t="inlineStr"/>
      <c r="R77" t="inlineStr">
        <is>
          <t>2 Contacted</t>
        </is>
      </c>
      <c r="S77" t="inlineStr"/>
      <c r="T77" t="inlineStr"/>
      <c r="U77" t="inlineStr">
        <is>
          <t>Adjacent builder. Partner first, but watch whether they move into the clinical record. Verify charity/company status at Companies House before proposing anything</t>
        </is>
      </c>
      <c r="V77" t="inlineStr">
        <is>
          <t>Met co-founder in person at a public parliamentary event, 22 Sep 2026</t>
        </is>
      </c>
      <c r="W77" t="inlineStr">
        <is>
          <t>Founder</t>
        </is>
      </c>
      <c r="X77" t="inlineStr">
        <is>
          <t>None</t>
        </is>
      </c>
      <c r="Y77" t="inlineStr">
        <is>
          <t>Referral or integration partner</t>
        </is>
      </c>
      <c r="Z77" t="inlineStr">
        <is>
          <t>Met in person at a professional event — opt out at any time</t>
        </is>
      </c>
    </row>
  </sheetData>
  <autoFilter ref="A1:Z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2" t="inlineStr">
        <is>
          <t>Organisation</t>
        </is>
      </c>
      <c r="B1" s="2" t="inlineStr">
        <is>
          <t>Country</t>
        </is>
      </c>
      <c r="C1" s="2" t="inlineStr">
        <is>
          <t>Category</t>
        </is>
      </c>
      <c r="D1" s="2" t="inlineStr">
        <is>
          <t>Partner Tier</t>
        </is>
      </c>
      <c r="E1" s="2" t="inlineStr">
        <is>
          <t>Why relevant</t>
        </is>
      </c>
      <c r="F1" s="2" t="inlineStr">
        <is>
          <t>What we ask</t>
        </is>
      </c>
      <c r="G1" s="2" t="inlineStr">
        <is>
          <t>What we offer</t>
        </is>
      </c>
      <c r="H1" s="2" t="inlineStr">
        <is>
          <t>Ideal decision-maker (title)</t>
        </is>
      </c>
      <c r="I1" s="2" t="inlineStr">
        <is>
          <t>Partnership type</t>
        </is>
      </c>
      <c r="J1" s="2" t="inlineStr">
        <is>
          <t>Priority /10</t>
        </is>
      </c>
      <c r="K1" s="2" t="inlineStr">
        <is>
          <t>Opening approach</t>
        </is>
      </c>
      <c r="L1" s="2" t="inlineStr">
        <is>
          <t>Strategic value</t>
        </is>
      </c>
      <c r="M1" s="2" t="inlineStr">
        <is>
          <t>Source / note</t>
        </is>
      </c>
    </row>
    <row r="2">
      <c r="A2" t="inlineStr">
        <is>
          <t>Oxford University Hospitals NHS FT (maternity)</t>
        </is>
      </c>
      <c r="B2" t="inlineStr">
        <is>
          <t>UK</t>
        </is>
      </c>
      <c r="C2" t="inlineStr">
        <is>
          <t>NHS trust</t>
        </is>
      </c>
      <c r="D2" t="inlineStr">
        <is>
          <t>1 Foundational</t>
        </is>
      </c>
      <c r="E2" t="inlineStr">
        <is>
          <t>Large maternity unit; region with home BP-in-pregnancy research heritage (BUMP trials)</t>
        </is>
      </c>
      <c r="F2" t="inlineStr">
        <is>
          <t>Service evaluation site; obstetric hypertension lead; 100–150 women</t>
        </is>
      </c>
      <c r="G2" t="inlineStr">
        <is>
          <t>No-fee evaluation, safety artefacts, co-authorship</t>
        </is>
      </c>
      <c r="H2" t="inlineStr">
        <is>
          <t>Consultant Obstetrician, Clinical Lead for Hypertension in Pregnancy; Head of Midwifery; Digital Midwife</t>
        </is>
      </c>
      <c r="I2" t="inlineStr">
        <is>
          <t>Service evaluation → licence</t>
        </is>
      </c>
      <c r="J2" t="n">
        <v>9</v>
      </c>
      <c r="K2" t="inlineStr">
        <is>
          <t>Via Health Innovation Oxford &amp; Thames Valley introduction; reference the BUMP evidence honestly</t>
        </is>
      </c>
      <c r="L2" t="inlineStr">
        <is>
          <t>First customer; evidence</t>
        </is>
      </c>
      <c r="M2" t="inlineStr">
        <is>
          <t>Public trust; verify current leads</t>
        </is>
      </c>
    </row>
    <row r="3">
      <c r="A3" t="inlineStr">
        <is>
          <t>University of Oxford, Nuffield Department of Primary Care Health Sciences (self-monitoring BP research)</t>
        </is>
      </c>
      <c r="B3" t="inlineStr">
        <is>
          <t>UK</t>
        </is>
      </c>
      <c r="C3" t="inlineStr">
        <is>
          <t>University research group</t>
        </is>
      </c>
      <c r="D3" t="inlineStr">
        <is>
          <t>1 Foundational</t>
        </is>
      </c>
      <c r="E3" t="inlineStr">
        <is>
          <t>Ran the BUMP trials on self-monitoring BP in pregnancy; world authority on the exact evidence gap</t>
        </is>
      </c>
      <c r="F3" t="inlineStr">
        <is>
          <t>Evaluation partner; ethics sponsor; design of feasibility study</t>
        </is>
      </c>
      <c r="G3" t="inlineStr">
        <is>
          <t>Prospective data; co-investigator role; grant co-bids</t>
        </is>
      </c>
      <c r="H3" t="inlineStr">
        <is>
          <t>Professor of Primary Care Research leading the BP self-monitoring programme; senior researcher on BUMP</t>
        </is>
      </c>
      <c r="I3" t="inlineStr">
        <is>
          <t>Research collaboration</t>
        </is>
      </c>
      <c r="J3" t="n">
        <v>10</v>
      </c>
      <c r="K3" t="inlineStr">
        <is>
          <t>Email citing BUMP findings and asking to design what happens after the reading</t>
        </is>
      </c>
      <c r="L3" t="inlineStr">
        <is>
          <t>Evidence credibility</t>
        </is>
      </c>
      <c r="M3" t="inlineStr">
        <is>
          <t>Public academic group</t>
        </is>
      </c>
    </row>
    <row r="4">
      <c r="A4" t="inlineStr">
        <is>
          <t>National Perinatal Epidemiology Unit (NPEU), University of Oxford (MBRRACE-UK)</t>
        </is>
      </c>
      <c r="B4" t="inlineStr">
        <is>
          <t>UK</t>
        </is>
      </c>
      <c r="C4" t="inlineStr">
        <is>
          <t>Research / data</t>
        </is>
      </c>
      <c r="D4" t="inlineStr">
        <is>
          <t>4 Data</t>
        </is>
      </c>
      <c r="E4" t="inlineStr">
        <is>
          <t>Runs MBRRACE-UK; methodology for maternal deaths and inequalities</t>
        </is>
      </c>
      <c r="F4" t="inlineStr">
        <is>
          <t>Methods advice; equity indicator alignment; later data linkage</t>
        </is>
      </c>
      <c r="G4" t="inlineStr">
        <is>
          <t>Continuous continuity data; equity reporting aligned to their framework</t>
        </is>
      </c>
      <c r="H4" t="inlineStr">
        <is>
          <t>Director of NPEU; MBRRACE-UK lead</t>
        </is>
      </c>
      <c r="I4" t="inlineStr">
        <is>
          <t>Research collaboration</t>
        </is>
      </c>
      <c r="J4" t="n">
        <v>9</v>
      </c>
      <c r="K4" t="inlineStr">
        <is>
          <t>Warm intro via Oxford; propose an equity-indicator workshop</t>
        </is>
      </c>
      <c r="L4" t="inlineStr">
        <is>
          <t>National credibility</t>
        </is>
      </c>
      <c r="M4" t="inlineStr">
        <is>
          <t>Public body</t>
        </is>
      </c>
    </row>
    <row r="5">
      <c r="A5" t="inlineStr">
        <is>
          <t>Guy's and St Thomas' NHS FT (maternity)</t>
        </is>
      </c>
      <c r="B5" t="inlineStr">
        <is>
          <t>UK</t>
        </is>
      </c>
      <c r="C5" t="inlineStr">
        <is>
          <t>NHS trust</t>
        </is>
      </c>
      <c r="D5" t="inlineStr">
        <is>
          <t>3 Clinical</t>
        </is>
      </c>
      <c r="E5" t="inlineStr">
        <is>
          <t>Large London unit; diverse population; digital maternity programmes</t>
        </is>
      </c>
      <c r="F5" t="inlineStr">
        <is>
          <t>Second evaluation site</t>
        </is>
      </c>
      <c r="G5" t="inlineStr">
        <is>
          <t>Evaluation, equity reporting</t>
        </is>
      </c>
      <c r="H5" t="inlineStr">
        <is>
          <t>Clinical Director for Women's Services; Digital Midwife</t>
        </is>
      </c>
      <c r="I5" t="inlineStr">
        <is>
          <t>Service evaluation</t>
        </is>
      </c>
      <c r="J5" t="n">
        <v>8</v>
      </c>
      <c r="K5" t="inlineStr">
        <is>
          <t>Via Health Innovation Network South London</t>
        </is>
      </c>
      <c r="L5" t="inlineStr">
        <is>
          <t>Diversity; London credibility</t>
        </is>
      </c>
    </row>
    <row r="6">
      <c r="A6" t="inlineStr">
        <is>
          <t>King's College Hospital NHS FT + King's College London Dept of Women &amp; Children's Health</t>
        </is>
      </c>
      <c r="B6" t="inlineStr">
        <is>
          <t>UK</t>
        </is>
      </c>
      <c r="C6" t="inlineStr">
        <is>
          <t>NHS trust + university</t>
        </is>
      </c>
      <c r="D6" t="inlineStr">
        <is>
          <t>1 Foundational</t>
        </is>
      </c>
      <c r="E6" t="inlineStr">
        <is>
          <t>Leading research in pre-eclampsia and maternal health; diverse south London population</t>
        </is>
      </c>
      <c r="F6" t="inlineStr">
        <is>
          <t>Research partner and site</t>
        </is>
      </c>
      <c r="G6" t="inlineStr">
        <is>
          <t>Cohort design; data; co-authorship</t>
        </is>
      </c>
      <c r="H6" t="inlineStr">
        <is>
          <t>Professor of Obstetrics/Maternal Health; Head of Department; Clinical Lead for Maternal Medicine</t>
        </is>
      </c>
      <c r="I6" t="inlineStr">
        <is>
          <t>Research + service evaluation</t>
        </is>
      </c>
      <c r="J6" t="n">
        <v>9</v>
      </c>
      <c r="K6" t="inlineStr">
        <is>
          <t>Approach the department's maternal-health digital or pre-eclampsia lead with the equity design</t>
        </is>
      </c>
      <c r="L6" t="inlineStr">
        <is>
          <t>Evidence; equity</t>
        </is>
      </c>
    </row>
    <row r="7">
      <c r="A7" t="inlineStr">
        <is>
          <t>Imperial College Healthcare NHS Trust + Imperial College London</t>
        </is>
      </c>
      <c r="B7" t="inlineStr">
        <is>
          <t>UK</t>
        </is>
      </c>
      <c r="C7" t="inlineStr">
        <is>
          <t>NHS trust + university</t>
        </is>
      </c>
      <c r="D7" t="inlineStr">
        <is>
          <t>3 Clinical</t>
        </is>
      </c>
      <c r="E7" t="inlineStr">
        <is>
          <t>Maternity research and digital innovation; Institute of Reproductive and Developmental Biology</t>
        </is>
      </c>
      <c r="F7" t="inlineStr">
        <is>
          <t>Site and research input</t>
        </is>
      </c>
      <c r="G7" t="inlineStr">
        <is>
          <t>Evaluation; data</t>
        </is>
      </c>
      <c r="H7" t="inlineStr">
        <is>
          <t>Consultant Obstetrician (Maternal Medicine); Head of Midwifery</t>
        </is>
      </c>
      <c r="I7" t="inlineStr">
        <is>
          <t>Service evaluation</t>
        </is>
      </c>
      <c r="J7" t="n">
        <v>7</v>
      </c>
      <c r="K7" t="inlineStr">
        <is>
          <t>Via Imperial's innovation office</t>
        </is>
      </c>
      <c r="L7" t="inlineStr">
        <is>
          <t>Evidence</t>
        </is>
      </c>
    </row>
    <row r="8">
      <c r="A8" t="inlineStr">
        <is>
          <t>Birmingham Women's and Children's NHS FT</t>
        </is>
      </c>
      <c r="B8" t="inlineStr">
        <is>
          <t>UK</t>
        </is>
      </c>
      <c r="C8" t="inlineStr">
        <is>
          <t>NHS trust</t>
        </is>
      </c>
      <c r="D8" t="inlineStr">
        <is>
          <t>3 Clinical</t>
        </is>
      </c>
      <c r="E8" t="inlineStr">
        <is>
          <t>Specialist women's hospital; diverse population; MBRRACE inequality focus in the region</t>
        </is>
      </c>
      <c r="F8" t="inlineStr">
        <is>
          <t>Evaluation site</t>
        </is>
      </c>
      <c r="G8" t="inlineStr">
        <is>
          <t>Equity reporting; virtual ward</t>
        </is>
      </c>
      <c r="H8" t="inlineStr">
        <is>
          <t>Chief Medical Officer; Head of Midwifery</t>
        </is>
      </c>
      <c r="I8" t="inlineStr">
        <is>
          <t>Service evaluation</t>
        </is>
      </c>
      <c r="J8" t="n">
        <v>8</v>
      </c>
      <c r="K8" t="inlineStr">
        <is>
          <t>Via Health Innovation West Midlands</t>
        </is>
      </c>
      <c r="L8" t="inlineStr">
        <is>
          <t>Diversity; specialist unit</t>
        </is>
      </c>
    </row>
    <row r="9">
      <c r="A9" t="inlineStr">
        <is>
          <t>Liverpool Women's NHS FT + University of Liverpool (Centre for Women's Health Research)</t>
        </is>
      </c>
      <c r="B9" t="inlineStr">
        <is>
          <t>UK</t>
        </is>
      </c>
      <c r="C9" t="inlineStr">
        <is>
          <t>NHS trust + university</t>
        </is>
      </c>
      <c r="D9" t="inlineStr">
        <is>
          <t>3 Clinical</t>
        </is>
      </c>
      <c r="E9" t="inlineStr">
        <is>
          <t>Specialist women's hospital with research centre</t>
        </is>
      </c>
      <c r="F9" t="inlineStr">
        <is>
          <t>Site and research</t>
        </is>
      </c>
      <c r="G9" t="inlineStr">
        <is>
          <t>Evaluation; data</t>
        </is>
      </c>
      <c r="H9" t="inlineStr">
        <is>
          <t>Director of Research; Consultant Obstetrician</t>
        </is>
      </c>
      <c r="I9" t="inlineStr">
        <is>
          <t>Service evaluation + research</t>
        </is>
      </c>
      <c r="J9" t="n">
        <v>7</v>
      </c>
      <c r="K9" t="inlineStr">
        <is>
          <t>Via the research centre director</t>
        </is>
      </c>
      <c r="L9" t="inlineStr">
        <is>
          <t>Evidence</t>
        </is>
      </c>
    </row>
    <row r="10">
      <c r="A10" t="inlineStr">
        <is>
          <t>Manchester University NHS FT (Saint Mary's) + Tommy's Manchester Research Centre</t>
        </is>
      </c>
      <c r="B10" t="inlineStr">
        <is>
          <t>UK</t>
        </is>
      </c>
      <c r="C10" t="inlineStr">
        <is>
          <t>NHS trust + research</t>
        </is>
      </c>
      <c r="D10" t="inlineStr">
        <is>
          <t>3 Clinical</t>
        </is>
      </c>
      <c r="E10" t="inlineStr">
        <is>
          <t>Major unit; Tommy's stillbirth and maternal research</t>
        </is>
      </c>
      <c r="F10" t="inlineStr">
        <is>
          <t>Site; research input</t>
        </is>
      </c>
      <c r="G10" t="inlineStr">
        <is>
          <t>Evaluation</t>
        </is>
      </c>
      <c r="H10" t="inlineStr">
        <is>
          <t>Clinical Head of Division (Obstetrics); Tommy's centre director</t>
        </is>
      </c>
      <c r="I10" t="inlineStr">
        <is>
          <t>Service evaluation</t>
        </is>
      </c>
      <c r="J10" t="n">
        <v>7</v>
      </c>
      <c r="K10" t="inlineStr">
        <is>
          <t>Via Health Innovation Manchester</t>
        </is>
      </c>
      <c r="L10" t="inlineStr">
        <is>
          <t>Evidence</t>
        </is>
      </c>
    </row>
    <row r="11">
      <c r="A11" t="inlineStr">
        <is>
          <t>Leeds Teaching Hospitals NHS Trust (maternity)</t>
        </is>
      </c>
      <c r="B11" t="inlineStr">
        <is>
          <t>UK</t>
        </is>
      </c>
      <c r="C11" t="inlineStr">
        <is>
          <t>NHS trust</t>
        </is>
      </c>
      <c r="D11" t="inlineStr">
        <is>
          <t>3 Clinical</t>
        </is>
      </c>
      <c r="E11" t="inlineStr">
        <is>
          <t>Large unit; regional digital programmes</t>
        </is>
      </c>
      <c r="F11" t="inlineStr">
        <is>
          <t>Evaluation site</t>
        </is>
      </c>
      <c r="G11" t="inlineStr">
        <is>
          <t>Virtual ward</t>
        </is>
      </c>
      <c r="H11" t="inlineStr">
        <is>
          <t>Head of Midwifery; Digital Midwife</t>
        </is>
      </c>
      <c r="I11" t="inlineStr">
        <is>
          <t>Service evaluation</t>
        </is>
      </c>
      <c r="J11" t="n">
        <v>6</v>
      </c>
      <c r="K11" t="inlineStr">
        <is>
          <t>Via Health Innovation Yorkshire &amp; Humber</t>
        </is>
      </c>
      <c r="L11" t="inlineStr">
        <is>
          <t>Scale</t>
        </is>
      </c>
    </row>
    <row r="12">
      <c r="A12" t="inlineStr">
        <is>
          <t>UCLH + UCL Institute for Women's Health</t>
        </is>
      </c>
      <c r="B12" t="inlineStr">
        <is>
          <t>UK</t>
        </is>
      </c>
      <c r="C12" t="inlineStr">
        <is>
          <t>NHS trust + university</t>
        </is>
      </c>
      <c r="D12" t="inlineStr">
        <is>
          <t>3 Clinical</t>
        </is>
      </c>
      <c r="E12" t="inlineStr">
        <is>
          <t>Research-intensive; women's health institute</t>
        </is>
      </c>
      <c r="F12" t="inlineStr">
        <is>
          <t>Research partner</t>
        </is>
      </c>
      <c r="G12" t="inlineStr">
        <is>
          <t>Data; co-authorship</t>
        </is>
      </c>
      <c r="H12" t="inlineStr">
        <is>
          <t>Institute Director; Professor of Maternal and Fetal Medicine</t>
        </is>
      </c>
      <c r="I12" t="inlineStr">
        <is>
          <t>Research</t>
        </is>
      </c>
      <c r="J12" t="n">
        <v>7</v>
      </c>
      <c r="K12" t="inlineStr">
        <is>
          <t>Approach institute innovation lead</t>
        </is>
      </c>
      <c r="L12" t="inlineStr">
        <is>
          <t>Evidence</t>
        </is>
      </c>
    </row>
    <row r="13">
      <c r="A13" t="inlineStr">
        <is>
          <t>Health Innovation Oxford &amp; Thames Valley</t>
        </is>
      </c>
      <c r="B13" t="inlineStr">
        <is>
          <t>UK</t>
        </is>
      </c>
      <c r="C13" t="inlineStr">
        <is>
          <t>Health Innovation Network</t>
        </is>
      </c>
      <c r="D13" t="inlineStr">
        <is>
          <t>5 Commercial</t>
        </is>
      </c>
      <c r="E13" t="inlineStr">
        <is>
          <t>Front door to Oxford-region trusts; innovation exchange</t>
        </is>
      </c>
      <c r="F13" t="inlineStr">
        <is>
          <t>Introductions to trusts; navigation support</t>
        </is>
      </c>
      <c r="G13" t="inlineStr">
        <is>
          <t>A well-governed evaluation for their portfolio</t>
        </is>
      </c>
      <c r="H13" t="inlineStr">
        <is>
          <t>Innovation Exchange Lead / Programme Manager (Maternity or Patient Safety)</t>
        </is>
      </c>
      <c r="I13" t="inlineStr">
        <is>
          <t>Support agreement</t>
        </is>
      </c>
      <c r="J13" t="n">
        <v>10</v>
      </c>
      <c r="K13" t="inlineStr">
        <is>
          <t>Email with intended-use statement and evaluation concept; ask for the two-trust question</t>
        </is>
      </c>
      <c r="L13" t="inlineStr">
        <is>
          <t>Door-opener</t>
        </is>
      </c>
    </row>
    <row r="14">
      <c r="A14" t="inlineStr">
        <is>
          <t>Health Innovation Network South London</t>
        </is>
      </c>
      <c r="B14" t="inlineStr">
        <is>
          <t>UK</t>
        </is>
      </c>
      <c r="C14" t="inlineStr">
        <is>
          <t>Health Innovation Network</t>
        </is>
      </c>
      <c r="D14" t="inlineStr">
        <is>
          <t>5 Commercial</t>
        </is>
      </c>
      <c r="E14" t="inlineStr">
        <is>
          <t>Diverse London trusts; maternity safety programmes</t>
        </is>
      </c>
      <c r="F14" t="inlineStr">
        <is>
          <t>Introductions</t>
        </is>
      </c>
      <c r="G14" t="inlineStr">
        <is>
          <t>Equity-focused evaluation</t>
        </is>
      </c>
      <c r="H14" t="inlineStr">
        <is>
          <t>Head of Innovation / Maternity Programme Lead</t>
        </is>
      </c>
      <c r="I14" t="inlineStr">
        <is>
          <t>Support</t>
        </is>
      </c>
      <c r="J14" t="n">
        <v>9</v>
      </c>
      <c r="K14" t="inlineStr">
        <is>
          <t>Same as above</t>
        </is>
      </c>
      <c r="L14" t="inlineStr">
        <is>
          <t>Door-opener</t>
        </is>
      </c>
    </row>
    <row r="15">
      <c r="A15" t="inlineStr">
        <is>
          <t>Health Innovation Manchester</t>
        </is>
      </c>
      <c r="B15" t="inlineStr">
        <is>
          <t>UK</t>
        </is>
      </c>
      <c r="C15" t="inlineStr">
        <is>
          <t>Health Innovation Network</t>
        </is>
      </c>
      <c r="D15" t="inlineStr">
        <is>
          <t>5 Commercial</t>
        </is>
      </c>
      <c r="E15" t="inlineStr">
        <is>
          <t>Greater Manchester devolved health system; digital maturity</t>
        </is>
      </c>
      <c r="F15" t="inlineStr">
        <is>
          <t>Introductions; ICB route</t>
        </is>
      </c>
      <c r="G15" t="inlineStr">
        <is>
          <t>Evaluation; equity</t>
        </is>
      </c>
      <c r="H15" t="inlineStr">
        <is>
          <t>Director of Innovation; Maternity lead</t>
        </is>
      </c>
      <c r="I15" t="inlineStr">
        <is>
          <t>Support</t>
        </is>
      </c>
      <c r="J15" t="n">
        <v>8</v>
      </c>
      <c r="K15" t="inlineStr">
        <is>
          <t>Email</t>
        </is>
      </c>
      <c r="L15" t="inlineStr">
        <is>
          <t>Door-opener; ICB</t>
        </is>
      </c>
    </row>
    <row r="16">
      <c r="A16" t="inlineStr">
        <is>
          <t>Health Innovation West Midlands</t>
        </is>
      </c>
      <c r="B16" t="inlineStr">
        <is>
          <t>UK</t>
        </is>
      </c>
      <c r="C16" t="inlineStr">
        <is>
          <t>Health Innovation Network</t>
        </is>
      </c>
      <c r="D16" t="inlineStr">
        <is>
          <t>5 Commercial</t>
        </is>
      </c>
      <c r="E16" t="inlineStr">
        <is>
          <t>Region with high maternal inequality</t>
        </is>
      </c>
      <c r="F16" t="inlineStr">
        <is>
          <t>Introductions</t>
        </is>
      </c>
      <c r="G16" t="inlineStr">
        <is>
          <t>Equity design</t>
        </is>
      </c>
      <c r="H16" t="inlineStr">
        <is>
          <t>Innovation Exchange lead</t>
        </is>
      </c>
      <c r="I16" t="inlineStr">
        <is>
          <t>Support</t>
        </is>
      </c>
      <c r="J16" t="n">
        <v>8</v>
      </c>
      <c r="K16" t="inlineStr">
        <is>
          <t>Email</t>
        </is>
      </c>
      <c r="L16" t="inlineStr">
        <is>
          <t>Door-opener</t>
        </is>
      </c>
    </row>
    <row r="17">
      <c r="A17" t="inlineStr">
        <is>
          <t>NHS England — Maternity and Neonatal Programme (national MEWS)</t>
        </is>
      </c>
      <c r="B17" t="inlineStr">
        <is>
          <t>UK</t>
        </is>
      </c>
      <c r="C17" t="inlineStr">
        <is>
          <t>National body</t>
        </is>
      </c>
      <c r="D17" t="inlineStr">
        <is>
          <t>6 Strategic</t>
        </is>
      </c>
      <c r="E17" t="inlineStr">
        <is>
          <t>Owns national MEWS and the Single Delivery Plan</t>
        </is>
      </c>
      <c r="F17" t="inlineStr">
        <is>
          <t>Alignment guidance; awareness</t>
        </is>
      </c>
      <c r="G17" t="inlineStr">
        <is>
          <t>Continuity layer aligned to MEWS; equity data</t>
        </is>
      </c>
      <c r="H17" t="inlineStr">
        <is>
          <t>Head of Maternity Transformation / National Clinical Lead for Maternity Safety</t>
        </is>
      </c>
      <c r="I17" t="inlineStr">
        <is>
          <t>Engagement</t>
        </is>
      </c>
      <c r="J17" t="n">
        <v>8</v>
      </c>
      <c r="K17" t="inlineStr">
        <is>
          <t>Via HIN or NPEU introduction; never cold</t>
        </is>
      </c>
      <c r="L17" t="inlineStr">
        <is>
          <t>Policy pull</t>
        </is>
      </c>
      <c r="M17" t="inlineStr">
        <is>
          <t>Do not claim endorsement</t>
        </is>
      </c>
    </row>
    <row r="18">
      <c r="A18" t="inlineStr">
        <is>
          <t>NHS Race and Health Observatory</t>
        </is>
      </c>
      <c r="B18" t="inlineStr">
        <is>
          <t>UK</t>
        </is>
      </c>
      <c r="C18" t="inlineStr">
        <is>
          <t>National body</t>
        </is>
      </c>
      <c r="D18" t="inlineStr">
        <is>
          <t>6 Strategic</t>
        </is>
      </c>
      <c r="E18" t="inlineStr">
        <is>
          <t>Independent body on ethnic health inequalities; maternity is a priority</t>
        </is>
      </c>
      <c r="F18" t="inlineStr">
        <is>
          <t>Review of equity design; visibility</t>
        </is>
      </c>
      <c r="G18" t="inlineStr">
        <is>
          <t>Data on reach and response by ethnicity</t>
        </is>
      </c>
      <c r="H18" t="inlineStr">
        <is>
          <t>Director of Research / Head of Maternal Health workstream</t>
        </is>
      </c>
      <c r="I18" t="inlineStr">
        <is>
          <t>Engagement / research</t>
        </is>
      </c>
      <c r="J18" t="n">
        <v>8</v>
      </c>
      <c r="K18" t="inlineStr">
        <is>
          <t>Email proposing an equity-indicator review</t>
        </is>
      </c>
      <c r="L18" t="inlineStr">
        <is>
          <t>Credibility on equity</t>
        </is>
      </c>
    </row>
    <row r="19">
      <c r="A19" t="inlineStr">
        <is>
          <t>Royal College of Obstetricians and Gynaecologists (RCOG)</t>
        </is>
      </c>
      <c r="B19" t="inlineStr">
        <is>
          <t>UK</t>
        </is>
      </c>
      <c r="C19" t="inlineStr">
        <is>
          <t>Professional body</t>
        </is>
      </c>
      <c r="D19" t="inlineStr">
        <is>
          <t>3 Clinical</t>
        </is>
      </c>
      <c r="E19" t="inlineStr">
        <is>
          <t>Guidelines; digital and innovation interest</t>
        </is>
      </c>
      <c r="F19" t="inlineStr">
        <is>
          <t>Process review; events</t>
        </is>
      </c>
      <c r="G19" t="inlineStr">
        <is>
          <t>Alignment to guidance</t>
        </is>
      </c>
      <c r="H19" t="inlineStr">
        <is>
          <t>Director of Clinical Quality; Digital/Innovation lead</t>
        </is>
      </c>
      <c r="I19" t="inlineStr">
        <is>
          <t>Engagement</t>
        </is>
      </c>
      <c r="J19" t="n">
        <v>6</v>
      </c>
      <c r="K19" t="inlineStr">
        <is>
          <t>Approach via clinician partners</t>
        </is>
      </c>
      <c r="L19" t="inlineStr">
        <is>
          <t>Legitimacy</t>
        </is>
      </c>
      <c r="M19" t="inlineStr">
        <is>
          <t>No endorsement claims</t>
        </is>
      </c>
    </row>
    <row r="20">
      <c r="A20" t="inlineStr">
        <is>
          <t>Royal College of Midwives (RCM)</t>
        </is>
      </c>
      <c r="B20" t="inlineStr">
        <is>
          <t>UK</t>
        </is>
      </c>
      <c r="C20" t="inlineStr">
        <is>
          <t>Professional body</t>
        </is>
      </c>
      <c r="D20" t="inlineStr">
        <is>
          <t>3 Clinical</t>
        </is>
      </c>
      <c r="E20" t="inlineStr">
        <is>
          <t>Midwifery workforce; digital midwifery</t>
        </is>
      </c>
      <c r="F20" t="inlineStr">
        <is>
          <t>Midwifery workflow review; training content</t>
        </is>
      </c>
      <c r="G20" t="inlineStr">
        <is>
          <t>Training modules</t>
        </is>
      </c>
      <c r="H20" t="inlineStr">
        <is>
          <t>Director for Professional Midwifery; Digital lead</t>
        </is>
      </c>
      <c r="I20" t="inlineStr">
        <is>
          <t>Engagement</t>
        </is>
      </c>
      <c r="J20" t="n">
        <v>7</v>
      </c>
      <c r="K20" t="inlineStr">
        <is>
          <t>Email proposing a workflow review</t>
        </is>
      </c>
      <c r="L20" t="inlineStr">
        <is>
          <t>Midwife adoption</t>
        </is>
      </c>
    </row>
    <row r="21">
      <c r="A21" t="inlineStr">
        <is>
          <t>Tommy's</t>
        </is>
      </c>
      <c r="B21" t="inlineStr">
        <is>
          <t>UK</t>
        </is>
      </c>
      <c r="C21" t="inlineStr">
        <is>
          <t>Charity / research</t>
        </is>
      </c>
      <c r="D21" t="inlineStr">
        <is>
          <t>1 Foundational</t>
        </is>
      </c>
      <c r="E21" t="inlineStr">
        <is>
          <t>Largest UK pregnancy research charity; research centres; public reach</t>
        </is>
      </c>
      <c r="F21" t="inlineStr">
        <is>
          <t>Review evaluation design; clinical champion introductions; community input</t>
        </is>
      </c>
      <c r="G21" t="inlineStr">
        <is>
          <t>Data sharing under governance; co-branded information content</t>
        </is>
      </c>
      <c r="H21" t="inlineStr">
        <is>
          <t>Head of Research; Director of Research and Policy</t>
        </is>
      </c>
      <c r="I21" t="inlineStr">
        <is>
          <t>Research/community partnership</t>
        </is>
      </c>
      <c r="J21" t="n">
        <v>9</v>
      </c>
      <c r="K21" t="inlineStr">
        <is>
          <t>Email to Head of Research with the evaluation concept</t>
        </is>
      </c>
      <c r="L21" t="inlineStr">
        <is>
          <t>Credibility; introductions</t>
        </is>
      </c>
    </row>
    <row r="22">
      <c r="A22" t="inlineStr">
        <is>
          <t>Five X More</t>
        </is>
      </c>
      <c r="B22" t="inlineStr">
        <is>
          <t>UK</t>
        </is>
      </c>
      <c r="C22" t="inlineStr">
        <is>
          <t>Community organisation</t>
        </is>
      </c>
      <c r="D22" t="inlineStr">
        <is>
          <t>1 Foundational</t>
        </is>
      </c>
      <c r="E22" t="inlineStr">
        <is>
          <t>Campaign on Black maternal health outcomes; community trust</t>
        </is>
      </c>
      <c r="F22" t="inlineStr">
        <is>
          <t>Equity design co-creation; community panel</t>
        </is>
      </c>
      <c r="G22" t="inlineStr">
        <is>
          <t>Paid advisory role; transparent equity reporting</t>
        </is>
      </c>
      <c r="H22" t="inlineStr">
        <is>
          <t>Co-founders</t>
        </is>
      </c>
      <c r="I22" t="inlineStr">
        <is>
          <t>Community partnership</t>
        </is>
      </c>
      <c r="J22" t="n">
        <v>9</v>
      </c>
      <c r="K22" t="inlineStr">
        <is>
          <t>LinkedIn note then call; offer paid involvement</t>
        </is>
      </c>
      <c r="L22" t="inlineStr">
        <is>
          <t>Legitimacy on equity</t>
        </is>
      </c>
      <c r="M22" t="inlineStr">
        <is>
          <t>Public campaign founders</t>
        </is>
      </c>
    </row>
    <row r="23">
      <c r="A23" t="inlineStr">
        <is>
          <t>Birthrights</t>
        </is>
      </c>
      <c r="B23" t="inlineStr">
        <is>
          <t>UK</t>
        </is>
      </c>
      <c r="C23" t="inlineStr">
        <is>
          <t>Charity</t>
        </is>
      </c>
      <c r="D23" t="inlineStr">
        <is>
          <t>3 Clinical</t>
        </is>
      </c>
      <c r="E23" t="inlineStr">
        <is>
          <t>Human rights in maternity; safeguarding and consent expertise</t>
        </is>
      </c>
      <c r="F23" t="inlineStr">
        <is>
          <t>Consent and rights review</t>
        </is>
      </c>
      <c r="G23" t="inlineStr">
        <is>
          <t>Paid review; co-design</t>
        </is>
      </c>
      <c r="H23" t="inlineStr">
        <is>
          <t>Chief Executive; Head of Policy</t>
        </is>
      </c>
      <c r="I23" t="inlineStr">
        <is>
          <t>Advisory</t>
        </is>
      </c>
      <c r="J23" t="n">
        <v>7</v>
      </c>
      <c r="K23" t="inlineStr">
        <is>
          <t>Email</t>
        </is>
      </c>
      <c r="L23" t="inlineStr">
        <is>
          <t>Consent architecture credibility</t>
        </is>
      </c>
    </row>
    <row r="24">
      <c r="A24" t="inlineStr">
        <is>
          <t>Wellbeing of Women</t>
        </is>
      </c>
      <c r="B24" t="inlineStr">
        <is>
          <t>UK</t>
        </is>
      </c>
      <c r="C24" t="inlineStr">
        <is>
          <t>Charity / funder</t>
        </is>
      </c>
      <c r="D24" t="inlineStr">
        <is>
          <t>7 Funding</t>
        </is>
      </c>
      <c r="E24" t="inlineStr">
        <is>
          <t>Funds women's health research</t>
        </is>
      </c>
      <c r="F24" t="inlineStr">
        <is>
          <t>Research funding; endorsement of study design</t>
        </is>
      </c>
      <c r="G24" t="inlineStr">
        <is>
          <t>Study proposal</t>
        </is>
      </c>
      <c r="H24" t="inlineStr">
        <is>
          <t>Director of Research</t>
        </is>
      </c>
      <c r="I24" t="inlineStr">
        <is>
          <t>Grant</t>
        </is>
      </c>
      <c r="J24" t="n">
        <v>6</v>
      </c>
      <c r="K24" t="inlineStr">
        <is>
          <t>Apply when call opens</t>
        </is>
      </c>
      <c r="L24" t="inlineStr">
        <is>
          <t>Funding</t>
        </is>
      </c>
    </row>
    <row r="25">
      <c r="A25" t="inlineStr">
        <is>
          <t>Maternal Mental Health Alliance</t>
        </is>
      </c>
      <c r="B25" t="inlineStr">
        <is>
          <t>UK</t>
        </is>
      </c>
      <c r="C25" t="inlineStr">
        <is>
          <t>Charity network</t>
        </is>
      </c>
      <c r="D25" t="inlineStr">
        <is>
          <t>3 Clinical</t>
        </is>
      </c>
      <c r="E25" t="inlineStr">
        <is>
          <t>Perinatal mental health network</t>
        </is>
      </c>
      <c r="F25" t="inlineStr">
        <is>
          <t>Postpartum module design</t>
        </is>
      </c>
      <c r="G25" t="inlineStr">
        <is>
          <t>Routing to services; data</t>
        </is>
      </c>
      <c r="H25" t="inlineStr">
        <is>
          <t>Chief Executive; Policy lead</t>
        </is>
      </c>
      <c r="I25" t="inlineStr">
        <is>
          <t>Advisory</t>
        </is>
      </c>
      <c r="J25" t="n">
        <v>7</v>
      </c>
      <c r="K25" t="inlineStr">
        <is>
          <t>Email</t>
        </is>
      </c>
      <c r="L25" t="inlineStr">
        <is>
          <t>Postpartum year design</t>
        </is>
      </c>
    </row>
    <row r="26">
      <c r="A26" t="inlineStr">
        <is>
          <t>Sands</t>
        </is>
      </c>
      <c r="B26" t="inlineStr">
        <is>
          <t>UK</t>
        </is>
      </c>
      <c r="C26" t="inlineStr">
        <is>
          <t>Charity</t>
        </is>
      </c>
      <c r="D26" t="inlineStr">
        <is>
          <t>3 Clinical</t>
        </is>
      </c>
      <c r="E26" t="inlineStr">
        <is>
          <t>Bereavement; safety</t>
        </is>
      </c>
      <c r="F26" t="inlineStr">
        <is>
          <t>Safety and sensitivity review</t>
        </is>
      </c>
      <c r="G26" t="inlineStr">
        <is>
          <t>Content review</t>
        </is>
      </c>
      <c r="H26" t="inlineStr">
        <is>
          <t>Head of Research and Prevention</t>
        </is>
      </c>
      <c r="I26" t="inlineStr">
        <is>
          <t>Advisory</t>
        </is>
      </c>
      <c r="J26" t="n">
        <v>5</v>
      </c>
      <c r="K26" t="inlineStr">
        <is>
          <t>Email</t>
        </is>
      </c>
      <c r="L26" t="inlineStr">
        <is>
          <t>Safety design</t>
        </is>
      </c>
    </row>
    <row r="27">
      <c r="A27" t="inlineStr">
        <is>
          <t>PRSB (Professional Record Standards Body)</t>
        </is>
      </c>
      <c r="B27" t="inlineStr">
        <is>
          <t>UK</t>
        </is>
      </c>
      <c r="C27" t="inlineStr">
        <is>
          <t>Standards body</t>
        </is>
      </c>
      <c r="D27" t="inlineStr">
        <is>
          <t>2 Technology</t>
        </is>
      </c>
      <c r="E27" t="inlineStr">
        <is>
          <t>Sets record standards incl. maternity</t>
        </is>
      </c>
      <c r="F27" t="inlineStr">
        <is>
          <t>Standards alignment; minimum dataset</t>
        </is>
      </c>
      <c r="G27" t="inlineStr">
        <is>
          <t>Implementation feedback</t>
        </is>
      </c>
      <c r="H27" t="inlineStr">
        <is>
          <t>Clinical Director; Programme lead</t>
        </is>
      </c>
      <c r="I27" t="inlineStr">
        <is>
          <t>Engagement</t>
        </is>
      </c>
      <c r="J27" t="n">
        <v>6</v>
      </c>
      <c r="K27" t="inlineStr">
        <is>
          <t>Email</t>
        </is>
      </c>
      <c r="L27" t="inlineStr">
        <is>
          <t>Interoperability credibility</t>
        </is>
      </c>
    </row>
    <row r="28">
      <c r="A28" t="inlineStr">
        <is>
          <t>Health Data Research UK (HDR UK)</t>
        </is>
      </c>
      <c r="B28" t="inlineStr">
        <is>
          <t>UK</t>
        </is>
      </c>
      <c r="C28" t="inlineStr">
        <is>
          <t>Data institute</t>
        </is>
      </c>
      <c r="D28" t="inlineStr">
        <is>
          <t>4 Data</t>
        </is>
      </c>
      <c r="E28" t="inlineStr">
        <is>
          <t>Trusted research environments; data access</t>
        </is>
      </c>
      <c r="F28" t="inlineStr">
        <is>
          <t>Cohort governance advice; TRE partnership</t>
        </is>
      </c>
      <c r="G28" t="inlineStr">
        <is>
          <t>New perinatal dataset</t>
        </is>
      </c>
      <c r="H28" t="inlineStr">
        <is>
          <t>Director of Infrastructure / Perinatal data lead</t>
        </is>
      </c>
      <c r="I28" t="inlineStr">
        <is>
          <t>Research</t>
        </is>
      </c>
      <c r="J28" t="n">
        <v>6</v>
      </c>
      <c r="K28" t="inlineStr">
        <is>
          <t>Email</t>
        </is>
      </c>
      <c r="L28" t="inlineStr">
        <is>
          <t>Data moat governance</t>
        </is>
      </c>
    </row>
    <row r="29">
      <c r="A29" t="inlineStr">
        <is>
          <t>Born in Bradford (Bradford Institute for Health Research)</t>
        </is>
      </c>
      <c r="B29" t="inlineStr">
        <is>
          <t>UK</t>
        </is>
      </c>
      <c r="C29" t="inlineStr">
        <is>
          <t>Cohort study</t>
        </is>
      </c>
      <c r="D29" t="inlineStr">
        <is>
          <t>4 Data</t>
        </is>
      </c>
      <c r="E29" t="inlineStr">
        <is>
          <t>Diverse birth cohort; deprived population</t>
        </is>
      </c>
      <c r="F29" t="inlineStr">
        <is>
          <t>Methods and linkage advice; site interest</t>
        </is>
      </c>
      <c r="G29" t="inlineStr">
        <is>
          <t>Digital continuity for a new sub-cohort</t>
        </is>
      </c>
      <c r="H29" t="inlineStr">
        <is>
          <t>Director; Head of Data</t>
        </is>
      </c>
      <c r="I29" t="inlineStr">
        <is>
          <t>Research</t>
        </is>
      </c>
      <c r="J29" t="n">
        <v>7</v>
      </c>
      <c r="K29" t="inlineStr">
        <is>
          <t>Email</t>
        </is>
      </c>
      <c r="L29" t="inlineStr">
        <is>
          <t>Data; diversity</t>
        </is>
      </c>
    </row>
    <row r="30">
      <c r="A30" t="inlineStr">
        <is>
          <t>Clevermed (BadgerNet Maternity)</t>
        </is>
      </c>
      <c r="B30" t="inlineStr">
        <is>
          <t>UK</t>
        </is>
      </c>
      <c r="C30" t="inlineStr">
        <is>
          <t>Maternity record vendor</t>
        </is>
      </c>
      <c r="D30" t="inlineStr">
        <is>
          <t>2 Technology</t>
        </is>
      </c>
      <c r="E30" t="inlineStr">
        <is>
          <t>Dominant UK maternity record; MEOWS built in</t>
        </is>
      </c>
      <c r="F30" t="inlineStr">
        <is>
          <t>Interface specification; partner status</t>
        </is>
      </c>
      <c r="G30" t="inlineStr">
        <is>
          <t>Complementary home-monitoring; joint customers</t>
        </is>
      </c>
      <c r="H30" t="inlineStr">
        <is>
          <t>Head of Partnerships / Product Director</t>
        </is>
      </c>
      <c r="I30" t="inlineStr">
        <is>
          <t>Interface partnership</t>
        </is>
      </c>
      <c r="J30" t="n">
        <v>8</v>
      </c>
      <c r="K30" t="inlineStr">
        <is>
          <t>Approach after first trust LOI, through the trust's CCIO</t>
        </is>
      </c>
      <c r="L30" t="inlineStr">
        <is>
          <t>Interoperability</t>
        </is>
      </c>
    </row>
    <row r="31">
      <c r="A31" t="inlineStr">
        <is>
          <t>K2 Medical Systems</t>
        </is>
      </c>
      <c r="B31" t="inlineStr">
        <is>
          <t>UK</t>
        </is>
      </c>
      <c r="C31" t="inlineStr">
        <is>
          <t>Maternity systems vendor</t>
        </is>
      </c>
      <c r="D31" t="inlineStr">
        <is>
          <t>2 Technology</t>
        </is>
      </c>
      <c r="E31" t="inlineStr">
        <is>
          <t>Athena record and Guardian CTG; large installed base</t>
        </is>
      </c>
      <c r="F31" t="inlineStr">
        <is>
          <t>Interface</t>
        </is>
      </c>
      <c r="G31" t="inlineStr">
        <is>
          <t>Complementary product</t>
        </is>
      </c>
      <c r="H31" t="inlineStr">
        <is>
          <t>Commercial Director; Product lead</t>
        </is>
      </c>
      <c r="I31" t="inlineStr">
        <is>
          <t>Interface partnership</t>
        </is>
      </c>
      <c r="J31" t="n">
        <v>7</v>
      </c>
      <c r="K31" t="inlineStr">
        <is>
          <t>Same as Clevermed</t>
        </is>
      </c>
      <c r="L31" t="inlineStr">
        <is>
          <t>Interoperability</t>
        </is>
      </c>
    </row>
    <row r="32">
      <c r="A32" t="inlineStr">
        <is>
          <t>Magentus (Euroking)</t>
        </is>
      </c>
      <c r="B32" t="inlineStr">
        <is>
          <t>UK</t>
        </is>
      </c>
      <c r="C32" t="inlineStr">
        <is>
          <t>Maternity record vendor</t>
        </is>
      </c>
      <c r="D32" t="inlineStr">
        <is>
          <t>2 Technology</t>
        </is>
      </c>
      <c r="E32" t="inlineStr">
        <is>
          <t>Maternity record in many trusts</t>
        </is>
      </c>
      <c r="F32" t="inlineStr">
        <is>
          <t>Interface</t>
        </is>
      </c>
      <c r="G32" t="inlineStr">
        <is>
          <t>Complementary product</t>
        </is>
      </c>
      <c r="H32" t="inlineStr">
        <is>
          <t>Partnerships lead</t>
        </is>
      </c>
      <c r="I32" t="inlineStr">
        <is>
          <t>Interface partnership</t>
        </is>
      </c>
      <c r="J32" t="n">
        <v>6</v>
      </c>
      <c r="K32" t="inlineStr">
        <is>
          <t>Same</t>
        </is>
      </c>
      <c r="L32" t="inlineStr">
        <is>
          <t>Interoperability</t>
        </is>
      </c>
    </row>
    <row r="33">
      <c r="A33" t="inlineStr">
        <is>
          <t>Healthy.io</t>
        </is>
      </c>
      <c r="B33" t="inlineStr">
        <is>
          <t>UK/Israel</t>
        </is>
      </c>
      <c r="C33" t="inlineStr">
        <is>
          <t>Digital diagnostics</t>
        </is>
      </c>
      <c r="D33" t="inlineStr">
        <is>
          <t>2 Technology</t>
        </is>
      </c>
      <c r="E33" t="inlineStr">
        <is>
          <t>CE-marked smartphone urinalysis</t>
        </is>
      </c>
      <c r="F33" t="inlineStr">
        <is>
          <t>API access; per-test pricing; maternity pathway</t>
        </is>
      </c>
      <c r="G33" t="inlineStr">
        <is>
          <t>Maternity channel; case study</t>
        </is>
      </c>
      <c r="H33" t="inlineStr">
        <is>
          <t>UK General Manager; Head of Partnerships</t>
        </is>
      </c>
      <c r="I33" t="inlineStr">
        <is>
          <t>Commercial/integration</t>
        </is>
      </c>
      <c r="J33" t="n">
        <v>8</v>
      </c>
      <c r="K33" t="inlineStr">
        <is>
          <t>Email with pathway description</t>
        </is>
      </c>
      <c r="L33" t="inlineStr">
        <is>
          <t>Urine protein at home</t>
        </is>
      </c>
    </row>
    <row r="34">
      <c r="A34" t="inlineStr">
        <is>
          <t>Omron Healthcare UK</t>
        </is>
      </c>
      <c r="B34" t="inlineStr">
        <is>
          <t>UK/Japan</t>
        </is>
      </c>
      <c r="C34" t="inlineStr">
        <is>
          <t>Device maker</t>
        </is>
      </c>
      <c r="D34" t="inlineStr">
        <is>
          <t>2 Technology</t>
        </is>
      </c>
      <c r="E34" t="inlineStr">
        <is>
          <t>Validated BP monitors; medical channel</t>
        </is>
      </c>
      <c r="F34" t="inlineStr">
        <is>
          <t>SDK; loan devices; pricing</t>
        </is>
      </c>
      <c r="G34" t="inlineStr">
        <is>
          <t>Maternity channel; evidence</t>
        </is>
      </c>
      <c r="H34" t="inlineStr">
        <is>
          <t>Medical Channel Manager UK; Head of Digital Health</t>
        </is>
      </c>
      <c r="I34" t="inlineStr">
        <is>
          <t>Supply/integration</t>
        </is>
      </c>
      <c r="J34" t="n">
        <v>8</v>
      </c>
      <c r="K34" t="inlineStr">
        <is>
          <t>Call medical channel team</t>
        </is>
      </c>
      <c r="L34" t="inlineStr">
        <is>
          <t>Validated input</t>
        </is>
      </c>
    </row>
    <row r="35">
      <c r="A35" t="inlineStr">
        <is>
          <t>Withings</t>
        </is>
      </c>
      <c r="B35" t="inlineStr">
        <is>
          <t>France</t>
        </is>
      </c>
      <c r="C35" t="inlineStr">
        <is>
          <t>Device maker</t>
        </is>
      </c>
      <c r="D35" t="inlineStr">
        <is>
          <t>2 Technology</t>
        </is>
      </c>
      <c r="E35" t="inlineStr">
        <is>
          <t>Connected validated BP cuffs; B2B health programme</t>
        </is>
      </c>
      <c r="F35" t="inlineStr">
        <is>
          <t>SDK; devices</t>
        </is>
      </c>
      <c r="G35" t="inlineStr">
        <is>
          <t>Maternity use case</t>
        </is>
      </c>
      <c r="H35" t="inlineStr">
        <is>
          <t>Head of B2B Health / Withings Health Solutions</t>
        </is>
      </c>
      <c r="I35" t="inlineStr">
        <is>
          <t>Supply/integration</t>
        </is>
      </c>
      <c r="J35" t="n">
        <v>7</v>
      </c>
      <c r="K35" t="inlineStr">
        <is>
          <t>Email B2B team</t>
        </is>
      </c>
      <c r="L35" t="inlineStr">
        <is>
          <t>Validated input</t>
        </is>
      </c>
    </row>
    <row r="36">
      <c r="A36" t="inlineStr">
        <is>
          <t>A&amp;D Medical (UK)</t>
        </is>
      </c>
      <c r="B36" t="inlineStr">
        <is>
          <t>UK/Japan</t>
        </is>
      </c>
      <c r="C36" t="inlineStr">
        <is>
          <t>Device maker</t>
        </is>
      </c>
      <c r="D36" t="inlineStr">
        <is>
          <t>2 Technology</t>
        </is>
      </c>
      <c r="E36" t="inlineStr">
        <is>
          <t>Validated BP monitors</t>
        </is>
      </c>
      <c r="F36" t="inlineStr">
        <is>
          <t>Devices; pricing</t>
        </is>
      </c>
      <c r="G36" t="inlineStr">
        <is>
          <t>Channel</t>
        </is>
      </c>
      <c r="H36" t="inlineStr">
        <is>
          <t>UK Sales Manager (medical)</t>
        </is>
      </c>
      <c r="I36" t="inlineStr">
        <is>
          <t>Supply</t>
        </is>
      </c>
      <c r="J36" t="n">
        <v>5</v>
      </c>
      <c r="K36" t="inlineStr">
        <is>
          <t>Email</t>
        </is>
      </c>
      <c r="L36" t="inlineStr">
        <is>
          <t>Alternative device</t>
        </is>
      </c>
    </row>
    <row r="37">
      <c r="A37" t="inlineStr">
        <is>
          <t>Bupa (UK)</t>
        </is>
      </c>
      <c r="B37" t="inlineStr">
        <is>
          <t>UK</t>
        </is>
      </c>
      <c r="C37" t="inlineStr">
        <is>
          <t>Insurer/provider</t>
        </is>
      </c>
      <c r="D37" t="inlineStr">
        <is>
          <t>6 Strategic</t>
        </is>
      </c>
      <c r="E37" t="inlineStr">
        <is>
          <t>Maternity benefits; private hospitals; international network</t>
        </is>
      </c>
      <c r="F37" t="inlineStr">
        <is>
          <t>Exploratory pilot of postpartum continuity as a benefit</t>
        </is>
      </c>
      <c r="G37" t="inlineStr">
        <is>
          <t>Evidence; product</t>
        </is>
      </c>
      <c r="H37" t="inlineStr">
        <is>
          <t>Head of Health Innovation / Clinical Director for Women's Health</t>
        </is>
      </c>
      <c r="I37" t="inlineStr">
        <is>
          <t>Pilot → commercial</t>
        </is>
      </c>
      <c r="J37" t="n">
        <v>7</v>
      </c>
      <c r="K37" t="inlineStr">
        <is>
          <t>Via Bupa innovation team; after UK evidence</t>
        </is>
      </c>
      <c r="L37" t="inlineStr">
        <is>
          <t>Private payer; global</t>
        </is>
      </c>
    </row>
    <row r="38">
      <c r="A38" t="inlineStr">
        <is>
          <t>AXA Health (UK)</t>
        </is>
      </c>
      <c r="B38" t="inlineStr">
        <is>
          <t>UK</t>
        </is>
      </c>
      <c r="C38" t="inlineStr">
        <is>
          <t>Insurer</t>
        </is>
      </c>
      <c r="D38" t="inlineStr">
        <is>
          <t>6 Strategic</t>
        </is>
      </c>
      <c r="E38" t="inlineStr">
        <is>
          <t>Health insurance; digital health partnerships</t>
        </is>
      </c>
      <c r="F38" t="inlineStr">
        <is>
          <t>Pilot conversation</t>
        </is>
      </c>
      <c r="G38" t="inlineStr">
        <is>
          <t>Continuity benefit</t>
        </is>
      </c>
      <c r="H38" t="inlineStr">
        <is>
          <t>Head of Propositions / Partnerships</t>
        </is>
      </c>
      <c r="I38" t="inlineStr">
        <is>
          <t>Pilot</t>
        </is>
      </c>
      <c r="J38" t="n">
        <v>5</v>
      </c>
      <c r="K38" t="inlineStr">
        <is>
          <t>Email</t>
        </is>
      </c>
      <c r="L38" t="inlineStr">
        <is>
          <t>Payer</t>
        </is>
      </c>
    </row>
    <row r="39">
      <c r="A39" t="inlineStr">
        <is>
          <t>Microsoft UK (Health &amp; Life Sciences) / Microsoft for Startups</t>
        </is>
      </c>
      <c r="B39" t="inlineStr">
        <is>
          <t>UK/US</t>
        </is>
      </c>
      <c r="C39" t="inlineStr">
        <is>
          <t>Technology</t>
        </is>
      </c>
      <c r="D39" t="inlineStr">
        <is>
          <t>2 Technology</t>
        </is>
      </c>
      <c r="E39" t="inlineStr">
        <is>
          <t>Cloud credits; health data compliance; speech services</t>
        </is>
      </c>
      <c r="F39" t="inlineStr">
        <is>
          <t>Credits; architecture review; speech language support</t>
        </is>
      </c>
      <c r="G39" t="inlineStr">
        <is>
          <t>Reference case</t>
        </is>
      </c>
      <c r="H39" t="inlineStr">
        <is>
          <t>Startup programme manager; Health industry lead</t>
        </is>
      </c>
      <c r="I39" t="inlineStr">
        <is>
          <t>Credits/partnership</t>
        </is>
      </c>
      <c r="J39" t="n">
        <v>6</v>
      </c>
      <c r="K39" t="inlineStr">
        <is>
          <t>Apply to start-up programme; then industry lead</t>
        </is>
      </c>
      <c r="L39" t="inlineStr">
        <is>
          <t>Infrastructure</t>
        </is>
      </c>
    </row>
    <row r="40">
      <c r="A40" t="inlineStr">
        <is>
          <t>Amazon Web Services (AWS Activate / Healthcare)</t>
        </is>
      </c>
      <c r="B40" t="inlineStr">
        <is>
          <t>UK/US</t>
        </is>
      </c>
      <c r="C40" t="inlineStr">
        <is>
          <t>Technology</t>
        </is>
      </c>
      <c r="D40" t="inlineStr">
        <is>
          <t>2 Technology</t>
        </is>
      </c>
      <c r="E40" t="inlineStr">
        <is>
          <t>Credits; UK region; healthcare compliance</t>
        </is>
      </c>
      <c r="F40" t="inlineStr">
        <is>
          <t>Credits; solution architect time</t>
        </is>
      </c>
      <c r="G40" t="inlineStr">
        <is>
          <t>Reference</t>
        </is>
      </c>
      <c r="H40" t="inlineStr">
        <is>
          <t>Startup account manager; Healthcare BD</t>
        </is>
      </c>
      <c r="I40" t="inlineStr">
        <is>
          <t>Credits</t>
        </is>
      </c>
      <c r="J40" t="n">
        <v>6</v>
      </c>
      <c r="K40" t="inlineStr">
        <is>
          <t>Apply</t>
        </is>
      </c>
      <c r="L40" t="inlineStr">
        <is>
          <t>Infrastructure</t>
        </is>
      </c>
    </row>
    <row r="41">
      <c r="A41" t="inlineStr">
        <is>
          <t>Google Cloud for Startups / Google Health</t>
        </is>
      </c>
      <c r="B41" t="inlineStr">
        <is>
          <t>UK/US</t>
        </is>
      </c>
      <c r="C41" t="inlineStr">
        <is>
          <t>Technology</t>
        </is>
      </c>
      <c r="D41" t="inlineStr">
        <is>
          <t>2 Technology</t>
        </is>
      </c>
      <c r="E41" t="inlineStr">
        <is>
          <t>Credits; speech and translation in African languages</t>
        </is>
      </c>
      <c r="F41" t="inlineStr">
        <is>
          <t>Credits; language support</t>
        </is>
      </c>
      <c r="G41" t="inlineStr">
        <is>
          <t>Case study</t>
        </is>
      </c>
      <c r="H41" t="inlineStr">
        <is>
          <t>Startup programme; Health partnerships</t>
        </is>
      </c>
      <c r="I41" t="inlineStr">
        <is>
          <t>Credits</t>
        </is>
      </c>
      <c r="J41" t="n">
        <v>5</v>
      </c>
      <c r="K41" t="inlineStr">
        <is>
          <t>Apply</t>
        </is>
      </c>
      <c r="L41" t="inlineStr">
        <is>
          <t>Voice/language</t>
        </is>
      </c>
    </row>
    <row r="42">
      <c r="A42" t="inlineStr">
        <is>
          <t>Vodafone Business (UK) / Vodacom (Africa)</t>
        </is>
      </c>
      <c r="B42" t="inlineStr">
        <is>
          <t>UK/Africa</t>
        </is>
      </c>
      <c r="C42" t="inlineStr">
        <is>
          <t>Telecom</t>
        </is>
      </c>
      <c r="D42" t="inlineStr">
        <is>
          <t>6 Strategic</t>
        </is>
      </c>
      <c r="E42" t="inlineStr">
        <is>
          <t>Connectivity; zero-rating; IoT SIMs; African footprint</t>
        </is>
      </c>
      <c r="F42" t="inlineStr">
        <is>
          <t>Zero-rated maternity messaging; IoT SIMs for devices</t>
        </is>
      </c>
      <c r="G42" t="inlineStr">
        <is>
          <t>Programme scale</t>
        </is>
      </c>
      <c r="H42" t="inlineStr">
        <is>
          <t>Head of Health, Vodafone Business; Vodacom health lead</t>
        </is>
      </c>
      <c r="I42" t="inlineStr">
        <is>
          <t>Commercial</t>
        </is>
      </c>
      <c r="J42" t="n">
        <v>6</v>
      </c>
      <c r="K42" t="inlineStr">
        <is>
          <t>Email health vertical lead</t>
        </is>
      </c>
      <c r="L42" t="inlineStr">
        <is>
          <t>Distribution; low-resource</t>
        </is>
      </c>
    </row>
    <row r="43">
      <c r="A43" t="inlineStr">
        <is>
          <t>Philips (Netherlands)</t>
        </is>
      </c>
      <c r="B43" t="inlineStr">
        <is>
          <t>Netherlands</t>
        </is>
      </c>
      <c r="C43" t="inlineStr">
        <is>
          <t>Medtech</t>
        </is>
      </c>
      <c r="D43" t="inlineStr">
        <is>
          <t>6 Strategic</t>
        </is>
      </c>
      <c r="E43" t="inlineStr">
        <is>
          <t>Maternal and fetal monitoring; virtual care platforms</t>
        </is>
      </c>
      <c r="F43" t="inlineStr">
        <is>
          <t>Interoperability; potential co-development later</t>
        </is>
      </c>
      <c r="G43" t="inlineStr">
        <is>
          <t>Continuity layer for their monitoring</t>
        </is>
      </c>
      <c r="H43" t="inlineStr">
        <is>
          <t>Head of Partnerships, Hospital Patient Monitoring / Venture lead</t>
        </is>
      </c>
      <c r="I43" t="inlineStr">
        <is>
          <t>Strategic (year 3)</t>
        </is>
      </c>
      <c r="J43" t="n">
        <v>5</v>
      </c>
      <c r="K43" t="inlineStr">
        <is>
          <t>After UK evidence; via Philips Ventures</t>
        </is>
      </c>
      <c r="L43" t="inlineStr">
        <is>
          <t>Distribution</t>
        </is>
      </c>
    </row>
    <row r="44">
      <c r="A44" t="inlineStr">
        <is>
          <t>Erasmus MC (Rotterdam) — Obstetrics</t>
        </is>
      </c>
      <c r="B44" t="inlineStr">
        <is>
          <t>Netherlands</t>
        </is>
      </c>
      <c r="C44" t="inlineStr">
        <is>
          <t>Academic hospital</t>
        </is>
      </c>
      <c r="D44" t="inlineStr">
        <is>
          <t>3 Clinical</t>
        </is>
      </c>
      <c r="E44" t="inlineStr">
        <is>
          <t>Leading European obstetric research</t>
        </is>
      </c>
      <c r="F44" t="inlineStr">
        <is>
          <t>EU evaluation partner (year 3)</t>
        </is>
      </c>
      <c r="G44" t="inlineStr">
        <is>
          <t>Data; evaluation</t>
        </is>
      </c>
      <c r="H44" t="inlineStr">
        <is>
          <t>Head of Obstetrics research</t>
        </is>
      </c>
      <c r="I44" t="inlineStr">
        <is>
          <t>Research</t>
        </is>
      </c>
      <c r="J44" t="n">
        <v>4</v>
      </c>
      <c r="K44" t="inlineStr">
        <is>
          <t>Later</t>
        </is>
      </c>
      <c r="L44" t="inlineStr">
        <is>
          <t>EU entry</t>
        </is>
      </c>
    </row>
    <row r="45">
      <c r="A45" t="inlineStr">
        <is>
          <t>Karolinska Institutet (Stockholm)</t>
        </is>
      </c>
      <c r="B45" t="inlineStr">
        <is>
          <t>Sweden</t>
        </is>
      </c>
      <c r="C45" t="inlineStr">
        <is>
          <t>University</t>
        </is>
      </c>
      <c r="D45" t="inlineStr">
        <is>
          <t>4 Data</t>
        </is>
      </c>
      <c r="E45" t="inlineStr">
        <is>
          <t>Registry-based perinatal research</t>
        </is>
      </c>
      <c r="F45" t="inlineStr">
        <is>
          <t>Methods; Nordic entry</t>
        </is>
      </c>
      <c r="G45" t="inlineStr">
        <is>
          <t>Data collaboration</t>
        </is>
      </c>
      <c r="H45" t="inlineStr">
        <is>
          <t>Professor of Obstetrics/Epidemiology</t>
        </is>
      </c>
      <c r="I45" t="inlineStr">
        <is>
          <t>Research</t>
        </is>
      </c>
      <c r="J45" t="n">
        <v>4</v>
      </c>
      <c r="K45" t="inlineStr">
        <is>
          <t>Later</t>
        </is>
      </c>
      <c r="L45" t="inlineStr">
        <is>
          <t>Evidence</t>
        </is>
      </c>
    </row>
    <row r="46">
      <c r="A46" t="inlineStr">
        <is>
          <t>Nina Capital</t>
        </is>
      </c>
      <c r="B46" t="inlineStr">
        <is>
          <t>Spain</t>
        </is>
      </c>
      <c r="C46" t="inlineStr">
        <is>
          <t>Health-tech VC</t>
        </is>
      </c>
      <c r="D46" t="inlineStr">
        <is>
          <t>7 Funding</t>
        </is>
      </c>
      <c r="E46" t="inlineStr">
        <is>
          <t>Pre-seed/seed health-tech; EU network</t>
        </is>
      </c>
      <c r="F46" t="inlineStr">
        <is>
          <t>Investment conversation (seed)</t>
        </is>
      </c>
      <c r="G46" t="inlineStr">
        <is>
          <t>Deal</t>
        </is>
      </c>
      <c r="H46" t="inlineStr">
        <is>
          <t>Managing Partner / GP</t>
        </is>
      </c>
      <c r="I46" t="inlineStr">
        <is>
          <t>Investment</t>
        </is>
      </c>
      <c r="J46" t="n">
        <v>7</v>
      </c>
      <c r="K46" t="inlineStr">
        <is>
          <t>Via warm intro after LOI</t>
        </is>
      </c>
      <c r="L46" t="inlineStr">
        <is>
          <t>Capital</t>
        </is>
      </c>
    </row>
    <row r="47">
      <c r="A47" t="inlineStr">
        <is>
          <t>Heal Capital</t>
        </is>
      </c>
      <c r="B47" t="inlineStr">
        <is>
          <t>Germany</t>
        </is>
      </c>
      <c r="C47" t="inlineStr">
        <is>
          <t>Digital-health VC</t>
        </is>
      </c>
      <c r="D47" t="inlineStr">
        <is>
          <t>7 Funding</t>
        </is>
      </c>
      <c r="E47" t="inlineStr">
        <is>
          <t>European digital health</t>
        </is>
      </c>
      <c r="F47" t="inlineStr">
        <is>
          <t>Seed conversation</t>
        </is>
      </c>
      <c r="G47" t="inlineStr">
        <is>
          <t>Deal</t>
        </is>
      </c>
      <c r="H47" t="inlineStr">
        <is>
          <t>Partner</t>
        </is>
      </c>
      <c r="I47" t="inlineStr">
        <is>
          <t>Investment</t>
        </is>
      </c>
      <c r="J47" t="n">
        <v>5</v>
      </c>
      <c r="K47" t="inlineStr">
        <is>
          <t>Warm intro</t>
        </is>
      </c>
      <c r="L47" t="inlineStr">
        <is>
          <t>Capital</t>
        </is>
      </c>
    </row>
    <row r="48">
      <c r="A48" t="inlineStr">
        <is>
          <t>EIT Health</t>
        </is>
      </c>
      <c r="B48" t="inlineStr">
        <is>
          <t>EU</t>
        </is>
      </c>
      <c r="C48" t="inlineStr">
        <is>
          <t>Innovation network</t>
        </is>
      </c>
      <c r="D48" t="inlineStr">
        <is>
          <t>7 Funding</t>
        </is>
      </c>
      <c r="E48" t="inlineStr">
        <is>
          <t>EU health innovation programmes (UK eligibility TO VALIDATE)</t>
        </is>
      </c>
      <c r="F48" t="inlineStr">
        <is>
          <t>Programme participation</t>
        </is>
      </c>
      <c r="G48" t="inlineStr">
        <is>
          <t>Case</t>
        </is>
      </c>
      <c r="H48" t="inlineStr">
        <is>
          <t>Programme manager UK/Ireland</t>
        </is>
      </c>
      <c r="I48" t="inlineStr">
        <is>
          <t>Programme</t>
        </is>
      </c>
      <c r="J48" t="n">
        <v>4</v>
      </c>
      <c r="K48" t="inlineStr">
        <is>
          <t>Apply if eligible</t>
        </is>
      </c>
      <c r="L48" t="inlineStr">
        <is>
          <t>Network</t>
        </is>
      </c>
    </row>
    <row r="49">
      <c r="A49" t="inlineStr">
        <is>
          <t>March of Dimes</t>
        </is>
      </c>
      <c r="B49" t="inlineStr">
        <is>
          <t>US</t>
        </is>
      </c>
      <c r="C49" t="inlineStr">
        <is>
          <t>Foundation / NGO</t>
        </is>
      </c>
      <c r="D49" t="inlineStr">
        <is>
          <t>6 Strategic</t>
        </is>
      </c>
      <c r="E49" t="inlineStr">
        <is>
          <t>Maternal and infant health; innovation fund</t>
        </is>
      </c>
      <c r="F49" t="inlineStr">
        <is>
          <t>US partner conversations (year 3)</t>
        </is>
      </c>
      <c r="G49" t="inlineStr">
        <is>
          <t>Evidence; platform</t>
        </is>
      </c>
      <c r="H49" t="inlineStr">
        <is>
          <t>Chief Innovation Officer / Innovation Fund lead</t>
        </is>
      </c>
      <c r="I49" t="inlineStr">
        <is>
          <t>Strategic</t>
        </is>
      </c>
      <c r="J49" t="n">
        <v>4</v>
      </c>
      <c r="K49" t="inlineStr">
        <is>
          <t>Later</t>
        </is>
      </c>
      <c r="L49" t="inlineStr">
        <is>
          <t>US entry</t>
        </is>
      </c>
    </row>
    <row r="50">
      <c r="A50" t="inlineStr">
        <is>
          <t>Babyscripts</t>
        </is>
      </c>
      <c r="B50" t="inlineStr">
        <is>
          <t>US</t>
        </is>
      </c>
      <c r="C50" t="inlineStr">
        <is>
          <t>Competitor / benchmark</t>
        </is>
      </c>
      <c r="D50" t="inlineStr">
        <is>
          <t>5 Commercial</t>
        </is>
      </c>
      <c r="E50" t="inlineStr">
        <is>
          <t>Leading US prenatal remote monitoring</t>
        </is>
      </c>
      <c r="F50" t="inlineStr">
        <is>
          <t>Benchmark; possible UK/Africa partnership</t>
        </is>
      </c>
      <c r="G50" t="inlineStr">
        <is>
          <t>Non-US markets</t>
        </is>
      </c>
      <c r="H50" t="inlineStr">
        <is>
          <t>CEO / Head of Partnerships</t>
        </is>
      </c>
      <c r="I50" t="inlineStr">
        <is>
          <t>Benchmark → partnership</t>
        </is>
      </c>
      <c r="J50" t="n">
        <v>4</v>
      </c>
      <c r="K50" t="inlineStr">
        <is>
          <t>Later, from strength</t>
        </is>
      </c>
      <c r="L50" t="inlineStr">
        <is>
          <t>Learning; option</t>
        </is>
      </c>
    </row>
    <row r="51">
      <c r="A51" t="inlineStr">
        <is>
          <t>Mayo Clinic Platform</t>
        </is>
      </c>
      <c r="B51" t="inlineStr">
        <is>
          <t>US</t>
        </is>
      </c>
      <c r="C51" t="inlineStr">
        <is>
          <t>Health system platform</t>
        </is>
      </c>
      <c r="D51" t="inlineStr">
        <is>
          <t>6 Strategic</t>
        </is>
      </c>
      <c r="E51" t="inlineStr">
        <is>
          <t>Validation and platform programmes for health AI</t>
        </is>
      </c>
      <c r="F51" t="inlineStr">
        <is>
          <t>Validation programme (year 3)</t>
        </is>
      </c>
      <c r="G51" t="inlineStr">
        <is>
          <t>Data model</t>
        </is>
      </c>
      <c r="H51" t="inlineStr">
        <is>
          <t>Platform partnerships lead</t>
        </is>
      </c>
      <c r="I51" t="inlineStr">
        <is>
          <t>Strategic</t>
        </is>
      </c>
      <c r="J51" t="n">
        <v>3</v>
      </c>
      <c r="K51" t="inlineStr">
        <is>
          <t>Later</t>
        </is>
      </c>
      <c r="L51" t="inlineStr">
        <is>
          <t>US credibility</t>
        </is>
      </c>
    </row>
    <row r="52">
      <c r="A52" t="inlineStr">
        <is>
          <t>Rock Health</t>
        </is>
      </c>
      <c r="B52" t="inlineStr">
        <is>
          <t>US</t>
        </is>
      </c>
      <c r="C52" t="inlineStr">
        <is>
          <t>Fund / research</t>
        </is>
      </c>
      <c r="D52" t="inlineStr">
        <is>
          <t>7 Funding</t>
        </is>
      </c>
      <c r="E52" t="inlineStr">
        <is>
          <t>Digital-health seed and research</t>
        </is>
      </c>
      <c r="F52" t="inlineStr">
        <is>
          <t>Seed conversation (US expansion)</t>
        </is>
      </c>
      <c r="G52" t="inlineStr">
        <is>
          <t>Deal</t>
        </is>
      </c>
      <c r="H52" t="inlineStr">
        <is>
          <t>Partner</t>
        </is>
      </c>
      <c r="I52" t="inlineStr">
        <is>
          <t>Investment</t>
        </is>
      </c>
      <c r="J52" t="n">
        <v>4</v>
      </c>
      <c r="K52" t="inlineStr">
        <is>
          <t>Later</t>
        </is>
      </c>
      <c r="L52" t="inlineStr">
        <is>
          <t>Capital</t>
        </is>
      </c>
    </row>
    <row r="53">
      <c r="A53" t="inlineStr">
        <is>
          <t>Maven Clinic</t>
        </is>
      </c>
      <c r="B53" t="inlineStr">
        <is>
          <t>US</t>
        </is>
      </c>
      <c r="C53" t="inlineStr">
        <is>
          <t>Virtual women's health</t>
        </is>
      </c>
      <c r="D53" t="inlineStr">
        <is>
          <t>5 Commercial</t>
        </is>
      </c>
      <c r="E53" t="inlineStr">
        <is>
          <t>Largest virtual women's-health company; employer/payer channel</t>
        </is>
      </c>
      <c r="F53" t="inlineStr">
        <is>
          <t>Partnership for continuity in non-US markets</t>
        </is>
      </c>
      <c r="G53" t="inlineStr">
        <is>
          <t>Platform</t>
        </is>
      </c>
      <c r="H53" t="inlineStr">
        <is>
          <t>Head of Partnerships / International</t>
        </is>
      </c>
      <c r="I53" t="inlineStr">
        <is>
          <t>Commercial</t>
        </is>
      </c>
      <c r="J53" t="n">
        <v>3</v>
      </c>
      <c r="K53" t="inlineStr">
        <is>
          <t>Later</t>
        </is>
      </c>
      <c r="L53" t="inlineStr">
        <is>
          <t>Payer channel</t>
        </is>
      </c>
    </row>
    <row r="54">
      <c r="A54" t="inlineStr">
        <is>
          <t>mDoc Healthcare (Nigeria)</t>
        </is>
      </c>
      <c r="B54" t="inlineStr">
        <is>
          <t>Nigeria</t>
        </is>
      </c>
      <c r="C54" t="inlineStr">
        <is>
          <t>Digital-health company (incumbent in Ekiti/Lagos)</t>
        </is>
      </c>
      <c r="D54" t="inlineStr">
        <is>
          <t>5 Commercial</t>
        </is>
      </c>
      <c r="E54" t="inlineStr">
        <is>
          <t>Runs Digital Mom with MSD for Mothers; incumbent in target states</t>
        </is>
      </c>
      <c r="F54" t="inlineStr">
        <is>
          <t>Complementarity partnership: continuity record and facility-side coordination beneath their programme</t>
        </is>
      </c>
      <c r="G54" t="inlineStr">
        <is>
          <t>Interoperability; facility workflow; evidence</t>
        </is>
      </c>
      <c r="H54" t="inlineStr">
        <is>
          <t>Founder &amp; CEO; Head of Partnerships</t>
        </is>
      </c>
      <c r="I54" t="inlineStr">
        <is>
          <t>MoU / partnership</t>
        </is>
      </c>
      <c r="J54" t="n">
        <v>8</v>
      </c>
      <c r="K54" t="inlineStr">
        <is>
          <t>Founder-to-founder email proposing complementarity, not competition</t>
        </is>
      </c>
      <c r="L54" t="inlineStr">
        <is>
          <t>Turns a competitor into a channel</t>
        </is>
      </c>
    </row>
    <row r="55">
      <c r="A55" t="inlineStr">
        <is>
          <t>Society for Family Health (Nigeria)</t>
        </is>
      </c>
      <c r="B55" t="inlineStr">
        <is>
          <t>Nigeria</t>
        </is>
      </c>
      <c r="C55" t="inlineStr">
        <is>
          <t>NGO implementer</t>
        </is>
      </c>
      <c r="D55" t="inlineStr">
        <is>
          <t>1 Foundational</t>
        </is>
      </c>
      <c r="E55" t="inlineStr">
        <is>
          <t>Large Nigerian health NGO; maternal programmes; donor contracts</t>
        </is>
      </c>
      <c r="F55" t="inlineStr">
        <is>
          <t>Cohort of 500–2,000 women; community health workers</t>
        </is>
      </c>
      <c r="G55" t="inlineStr">
        <is>
          <t>Free platform; training; evaluation</t>
        </is>
      </c>
      <c r="H55" t="inlineStr">
        <is>
          <t>Managing Director; Director of Programmes (RMNCH)</t>
        </is>
      </c>
      <c r="I55" t="inlineStr">
        <is>
          <t>MoU + evaluation</t>
        </is>
      </c>
      <c r="J55" t="n">
        <v>8</v>
      </c>
      <c r="K55" t="inlineStr">
        <is>
          <t>Email programme director</t>
        </is>
      </c>
      <c r="L55" t="inlineStr">
        <is>
          <t>Second market</t>
        </is>
      </c>
    </row>
    <row r="56">
      <c r="A56" t="inlineStr">
        <is>
          <t>Jhpiego (Nigeria/Global)</t>
        </is>
      </c>
      <c r="B56" t="inlineStr">
        <is>
          <t>Nigeria/US</t>
        </is>
      </c>
      <c r="C56" t="inlineStr">
        <is>
          <t>NGO implementer</t>
        </is>
      </c>
      <c r="D56" t="inlineStr">
        <is>
          <t>1 Foundational</t>
        </is>
      </c>
      <c r="E56" t="inlineStr">
        <is>
          <t>Maternal health implementation at scale; donor programmes</t>
        </is>
      </c>
      <c r="F56" t="inlineStr">
        <is>
          <t>Technology-partner role in a funded programme</t>
        </is>
      </c>
      <c r="G56" t="inlineStr">
        <is>
          <t>Continuity layer; evaluation</t>
        </is>
      </c>
      <c r="H56" t="inlineStr">
        <is>
          <t>Country Director Nigeria; Director of Digital Health</t>
        </is>
      </c>
      <c r="I56" t="inlineStr">
        <is>
          <t>MoU / sub-contract</t>
        </is>
      </c>
      <c r="J56" t="n">
        <v>8</v>
      </c>
      <c r="K56" t="inlineStr">
        <is>
          <t>Email country office</t>
        </is>
      </c>
      <c r="L56" t="inlineStr">
        <is>
          <t>Programme access</t>
        </is>
      </c>
    </row>
    <row r="57">
      <c r="A57" t="inlineStr">
        <is>
          <t>Lagos State Ministry of Health / Lagos State PHC Board</t>
        </is>
      </c>
      <c r="B57" t="inlineStr">
        <is>
          <t>Nigeria</t>
        </is>
      </c>
      <c r="C57" t="inlineStr">
        <is>
          <t>State government</t>
        </is>
      </c>
      <c r="D57" t="inlineStr">
        <is>
          <t>5 Commercial</t>
        </is>
      </c>
      <c r="E57" t="inlineStr">
        <is>
          <t>Largest state; existing digital maternal programmes (mDoc)</t>
        </is>
      </c>
      <c r="F57" t="inlineStr">
        <is>
          <t>Complementarity pilot with an implementer</t>
        </is>
      </c>
      <c r="G57" t="inlineStr">
        <is>
          <t>Continuity record; equity data</t>
        </is>
      </c>
      <c r="H57" t="inlineStr">
        <is>
          <t>Commissioner for Health; Permanent Secretary; PHC Board ES</t>
        </is>
      </c>
      <c r="I57" t="inlineStr">
        <is>
          <t>MoU</t>
        </is>
      </c>
      <c r="J57" t="n">
        <v>6</v>
      </c>
      <c r="K57" t="inlineStr">
        <is>
          <t>Via implementer, never cold</t>
        </is>
      </c>
      <c r="L57" t="inlineStr">
        <is>
          <t>Scale</t>
        </is>
      </c>
    </row>
    <row r="58">
      <c r="A58" t="inlineStr">
        <is>
          <t>Ekiti State Ministry of Health</t>
        </is>
      </c>
      <c r="B58" t="inlineStr">
        <is>
          <t>Nigeria</t>
        </is>
      </c>
      <c r="C58" t="inlineStr">
        <is>
          <t>State government</t>
        </is>
      </c>
      <c r="D58" t="inlineStr">
        <is>
          <t>5 Commercial</t>
        </is>
      </c>
      <c r="E58" t="inlineStr">
        <is>
          <t>Prior conversation (March 2026); incumbent programme present</t>
        </is>
      </c>
      <c r="F58" t="inlineStr">
        <is>
          <t>Re-scoped complementarity pilot</t>
        </is>
      </c>
      <c r="G58" t="inlineStr">
        <is>
          <t>Phased evidence pilot</t>
        </is>
      </c>
      <c r="H58" t="inlineStr">
        <is>
          <t>Commissioner for Health; Programme Manager for maternal health</t>
        </is>
      </c>
      <c r="I58" t="inlineStr">
        <is>
          <t>MoU</t>
        </is>
      </c>
      <c r="J58" t="n">
        <v>6</v>
      </c>
      <c r="K58" t="inlineStr">
        <is>
          <t>Reply with the re-scoped proposal</t>
        </is>
      </c>
      <c r="L58" t="inlineStr">
        <is>
          <t>Existing relationship</t>
        </is>
      </c>
      <c r="M58" t="inlineStr">
        <is>
          <t>See FACTS_BASE</t>
        </is>
      </c>
    </row>
    <row r="59">
      <c r="A59" t="inlineStr">
        <is>
          <t>NPHCDA (National Primary Health Care Development Agency)</t>
        </is>
      </c>
      <c r="B59" t="inlineStr">
        <is>
          <t>Nigeria</t>
        </is>
      </c>
      <c r="C59" t="inlineStr">
        <is>
          <t>National agency</t>
        </is>
      </c>
      <c r="D59" t="inlineStr">
        <is>
          <t>6 Strategic</t>
        </is>
      </c>
      <c r="E59" t="inlineStr">
        <is>
          <t>Primary health care; BHCPF financing</t>
        </is>
      </c>
      <c r="F59" t="inlineStr">
        <is>
          <t>Awareness; alignment</t>
        </is>
      </c>
      <c r="G59" t="inlineStr">
        <is>
          <t>Continuity layer for PHCs</t>
        </is>
      </c>
      <c r="H59" t="inlineStr">
        <is>
          <t>Director of Community Health Services; Digital Health lead</t>
        </is>
      </c>
      <c r="I59" t="inlineStr">
        <is>
          <t>Engagement</t>
        </is>
      </c>
      <c r="J59" t="n">
        <v>5</v>
      </c>
      <c r="K59" t="inlineStr">
        <is>
          <t>Via implementer</t>
        </is>
      </c>
      <c r="L59" t="inlineStr">
        <is>
          <t>National alignment</t>
        </is>
      </c>
    </row>
    <row r="60">
      <c r="A60" t="inlineStr">
        <is>
          <t>SOGON (Society of Gynaecology and Obstetrics of Nigeria)</t>
        </is>
      </c>
      <c r="B60" t="inlineStr">
        <is>
          <t>Nigeria</t>
        </is>
      </c>
      <c r="C60" t="inlineStr">
        <is>
          <t>Professional body</t>
        </is>
      </c>
      <c r="D60" t="inlineStr">
        <is>
          <t>3 Clinical</t>
        </is>
      </c>
      <c r="E60" t="inlineStr">
        <is>
          <t>Clinical legitimacy in Nigeria</t>
        </is>
      </c>
      <c r="F60" t="inlineStr">
        <is>
          <t>Clinical review; champions</t>
        </is>
      </c>
      <c r="G60" t="inlineStr">
        <is>
          <t>Alignment</t>
        </is>
      </c>
      <c r="H60" t="inlineStr">
        <is>
          <t>President; Secretary General</t>
        </is>
      </c>
      <c r="I60" t="inlineStr">
        <is>
          <t>Engagement</t>
        </is>
      </c>
      <c r="J60" t="n">
        <v>6</v>
      </c>
      <c r="K60" t="inlineStr">
        <is>
          <t>Email; conference</t>
        </is>
      </c>
      <c r="L60" t="inlineStr">
        <is>
          <t>Legitimacy</t>
        </is>
      </c>
    </row>
    <row r="61">
      <c r="A61" t="inlineStr">
        <is>
          <t>MTN Nigeria</t>
        </is>
      </c>
      <c r="B61" t="inlineStr">
        <is>
          <t>Nigeria</t>
        </is>
      </c>
      <c r="C61" t="inlineStr">
        <is>
          <t>Telecom</t>
        </is>
      </c>
      <c r="D61" t="inlineStr">
        <is>
          <t>6 Strategic</t>
        </is>
      </c>
      <c r="E61" t="inlineStr">
        <is>
          <t>Largest operator; mobile health programmes; zero-rating</t>
        </is>
      </c>
      <c r="F61" t="inlineStr">
        <is>
          <t>Zero-rated messaging; USSD short code</t>
        </is>
      </c>
      <c r="G61" t="inlineStr">
        <is>
          <t>Programme scale; CSR</t>
        </is>
      </c>
      <c r="H61" t="inlineStr">
        <is>
          <t>Head of Digital Services / CSR (MTN Foundation)</t>
        </is>
      </c>
      <c r="I61" t="inlineStr">
        <is>
          <t>Commercial/CSR</t>
        </is>
      </c>
      <c r="J61" t="n">
        <v>6</v>
      </c>
      <c r="K61" t="inlineStr">
        <is>
          <t>Email foundation and digital services</t>
        </is>
      </c>
      <c r="L61" t="inlineStr">
        <is>
          <t>Distribution</t>
        </is>
      </c>
    </row>
    <row r="62">
      <c r="A62" t="inlineStr">
        <is>
          <t>Airtel Africa</t>
        </is>
      </c>
      <c r="B62" t="inlineStr">
        <is>
          <t>Nigeria/pan-Africa</t>
        </is>
      </c>
      <c r="C62" t="inlineStr">
        <is>
          <t>Telecom</t>
        </is>
      </c>
      <c r="D62" t="inlineStr">
        <is>
          <t>6 Strategic</t>
        </is>
      </c>
      <c r="E62" t="inlineStr">
        <is>
          <t>Pan-African footprint</t>
        </is>
      </c>
      <c r="F62" t="inlineStr">
        <is>
          <t>Messaging; USSD</t>
        </is>
      </c>
      <c r="G62" t="inlineStr">
        <is>
          <t>Scale</t>
        </is>
      </c>
      <c r="H62" t="inlineStr">
        <is>
          <t>Head of Mobile Health / Partnerships</t>
        </is>
      </c>
      <c r="I62" t="inlineStr">
        <is>
          <t>Commercial</t>
        </is>
      </c>
      <c r="J62" t="n">
        <v>5</v>
      </c>
      <c r="K62" t="inlineStr">
        <is>
          <t>Email</t>
        </is>
      </c>
      <c r="L62" t="inlineStr">
        <is>
          <t>Distribution</t>
        </is>
      </c>
    </row>
    <row r="63">
      <c r="A63" t="inlineStr">
        <is>
          <t>Safaricom (Kenya)</t>
        </is>
      </c>
      <c r="B63" t="inlineStr">
        <is>
          <t>Kenya</t>
        </is>
      </c>
      <c r="C63" t="inlineStr">
        <is>
          <t>Telecom</t>
        </is>
      </c>
      <c r="D63" t="inlineStr">
        <is>
          <t>6 Strategic</t>
        </is>
      </c>
      <c r="E63" t="inlineStr">
        <is>
          <t>M-PESA; health platforms; Kenya entry</t>
        </is>
      </c>
      <c r="F63" t="inlineStr">
        <is>
          <t>Messaging; payments; distribution</t>
        </is>
      </c>
      <c r="G63" t="inlineStr">
        <is>
          <t>Kenya programme</t>
        </is>
      </c>
      <c r="H63" t="inlineStr">
        <is>
          <t>Head of Health, Safaricom / M-PESA partnerships</t>
        </is>
      </c>
      <c r="I63" t="inlineStr">
        <is>
          <t>Commercial</t>
        </is>
      </c>
      <c r="J63" t="n">
        <v>5</v>
      </c>
      <c r="K63" t="inlineStr">
        <is>
          <t>Later</t>
        </is>
      </c>
      <c r="L63" t="inlineStr">
        <is>
          <t>Kenya entry</t>
        </is>
      </c>
    </row>
    <row r="64">
      <c r="A64" t="inlineStr">
        <is>
          <t>Jacaranda Health (Kenya)</t>
        </is>
      </c>
      <c r="B64" t="inlineStr">
        <is>
          <t>Kenya</t>
        </is>
      </c>
      <c r="C64" t="inlineStr">
        <is>
          <t>NGO / digital maternal health</t>
        </is>
      </c>
      <c r="D64" t="inlineStr">
        <is>
          <t>5 Commercial</t>
        </is>
      </c>
      <c r="E64" t="inlineStr">
        <is>
          <t>PROMPTS SMS maternal platform at scale</t>
        </is>
      </c>
      <c r="F64" t="inlineStr">
        <is>
          <t>Learning exchange; possible interoperability</t>
        </is>
      </c>
      <c r="G64" t="inlineStr">
        <is>
          <t>Continuity record for facility side</t>
        </is>
      </c>
      <c r="H64" t="inlineStr">
        <is>
          <t>CEO; Director of Technology</t>
        </is>
      </c>
      <c r="I64" t="inlineStr">
        <is>
          <t>Partnership</t>
        </is>
      </c>
      <c r="J64" t="n">
        <v>5</v>
      </c>
      <c r="K64" t="inlineStr">
        <is>
          <t>Founder email</t>
        </is>
      </c>
      <c r="L64" t="inlineStr">
        <is>
          <t>Kenya; learning</t>
        </is>
      </c>
    </row>
    <row r="65">
      <c r="A65" t="inlineStr">
        <is>
          <t>Praekelt.org (MomConnect, South Africa)</t>
        </is>
      </c>
      <c r="B65" t="inlineStr">
        <is>
          <t>South Africa</t>
        </is>
      </c>
      <c r="C65" t="inlineStr">
        <is>
          <t>NGO / digital health</t>
        </is>
      </c>
      <c r="D65" t="inlineStr">
        <is>
          <t>5 Commercial</t>
        </is>
      </c>
      <c r="E65" t="inlineStr">
        <is>
          <t>National maternal messaging platform</t>
        </is>
      </c>
      <c r="F65" t="inlineStr">
        <is>
          <t>Learning; interoperability</t>
        </is>
      </c>
      <c r="G65" t="inlineStr">
        <is>
          <t>Record layer</t>
        </is>
      </c>
      <c r="H65" t="inlineStr">
        <is>
          <t>CEO; Head of Health</t>
        </is>
      </c>
      <c r="I65" t="inlineStr">
        <is>
          <t>Partnership</t>
        </is>
      </c>
      <c r="J65" t="n">
        <v>4</v>
      </c>
      <c r="K65" t="inlineStr">
        <is>
          <t>Email</t>
        </is>
      </c>
      <c r="L65" t="inlineStr">
        <is>
          <t>Learning</t>
        </is>
      </c>
    </row>
    <row r="66">
      <c r="A66" t="inlineStr">
        <is>
          <t>PATH</t>
        </is>
      </c>
      <c r="B66" t="inlineStr">
        <is>
          <t>Global</t>
        </is>
      </c>
      <c r="C66" t="inlineStr">
        <is>
          <t>Global health NGO</t>
        </is>
      </c>
      <c r="D66" t="inlineStr">
        <is>
          <t>6 Strategic</t>
        </is>
      </c>
      <c r="E66" t="inlineStr">
        <is>
          <t>Digital health and maternal programmes; DHIS2 ecosystem</t>
        </is>
      </c>
      <c r="F66" t="inlineStr">
        <is>
          <t>Digital-health advisory; programme partnership</t>
        </is>
      </c>
      <c r="G66" t="inlineStr">
        <is>
          <t>Evidence</t>
        </is>
      </c>
      <c r="H66" t="inlineStr">
        <is>
          <t>Director of Digital Health / Country Director Nigeria</t>
        </is>
      </c>
      <c r="I66" t="inlineStr">
        <is>
          <t>Partnership</t>
        </is>
      </c>
      <c r="J66" t="n">
        <v>5</v>
      </c>
      <c r="K66" t="inlineStr">
        <is>
          <t>Email</t>
        </is>
      </c>
      <c r="L66" t="inlineStr">
        <is>
          <t>Programme access</t>
        </is>
      </c>
    </row>
    <row r="67">
      <c r="A67" t="inlineStr">
        <is>
          <t>UNICEF Nigeria (Health) / UNICEF Innovation</t>
        </is>
      </c>
      <c r="B67" t="inlineStr">
        <is>
          <t>Nigeria/Global</t>
        </is>
      </c>
      <c r="C67" t="inlineStr">
        <is>
          <t>UN agency</t>
        </is>
      </c>
      <c r="D67" t="inlineStr">
        <is>
          <t>6 Strategic</t>
        </is>
      </c>
      <c r="E67" t="inlineStr">
        <is>
          <t>Maternal and newborn programmes; innovation fund</t>
        </is>
      </c>
      <c r="F67" t="inlineStr">
        <is>
          <t>Programme alignment; innovation fund application</t>
        </is>
      </c>
      <c r="G67" t="inlineStr">
        <is>
          <t>Continuity tools</t>
        </is>
      </c>
      <c r="H67" t="inlineStr">
        <is>
          <t>Chief of Health; Innovation Fund manager</t>
        </is>
      </c>
      <c r="I67" t="inlineStr">
        <is>
          <t>Programme/funding</t>
        </is>
      </c>
      <c r="J67" t="n">
        <v>5</v>
      </c>
      <c r="K67" t="inlineStr">
        <is>
          <t>Apply; programme contact via implementer</t>
        </is>
      </c>
      <c r="L67" t="inlineStr">
        <is>
          <t>Scale; funding</t>
        </is>
      </c>
    </row>
    <row r="68">
      <c r="A68" t="inlineStr">
        <is>
          <t>Bill &amp; Melinda Gates Foundation (Maternal, Newborn &amp; Child Health)</t>
        </is>
      </c>
      <c r="B68" t="inlineStr">
        <is>
          <t>US/Global</t>
        </is>
      </c>
      <c r="C68" t="inlineStr">
        <is>
          <t>Foundation</t>
        </is>
      </c>
      <c r="D68" t="inlineStr">
        <is>
          <t>7 Funding</t>
        </is>
      </c>
      <c r="E68" t="inlineStr">
        <is>
          <t>Largest maternal-health funder; Nigeria focus</t>
        </is>
      </c>
      <c r="F68" t="inlineStr">
        <is>
          <t>Grant for low-resource validation (via partner)</t>
        </is>
      </c>
      <c r="G68" t="inlineStr">
        <is>
          <t>Evidence; cohort</t>
        </is>
      </c>
      <c r="H68" t="inlineStr">
        <is>
          <t>Program Officer, MNCH / Digital Health</t>
        </is>
      </c>
      <c r="I68" t="inlineStr">
        <is>
          <t>Grant (via implementer)</t>
        </is>
      </c>
      <c r="J68" t="n">
        <v>6</v>
      </c>
      <c r="K68" t="inlineStr">
        <is>
          <t>Via implementer or Grand Challenges routes</t>
        </is>
      </c>
      <c r="L68" t="inlineStr">
        <is>
          <t>Funding; credibility</t>
        </is>
      </c>
    </row>
    <row r="69">
      <c r="A69" t="inlineStr">
        <is>
          <t>MSD for Mothers</t>
        </is>
      </c>
      <c r="B69" t="inlineStr">
        <is>
          <t>US/Global</t>
        </is>
      </c>
      <c r="C69" t="inlineStr">
        <is>
          <t>Corporate initiative</t>
        </is>
      </c>
      <c r="D69" t="inlineStr">
        <is>
          <t>7 Funding</t>
        </is>
      </c>
      <c r="E69" t="inlineStr">
        <is>
          <t>Funds maternal programmes incl. mDoc; UK and Nigeria activity</t>
        </is>
      </c>
      <c r="F69" t="inlineStr">
        <is>
          <t>Programme funding; introductions</t>
        </is>
      </c>
      <c r="G69" t="inlineStr">
        <is>
          <t>Continuity layer for funded programmes</t>
        </is>
      </c>
      <c r="H69" t="inlineStr">
        <is>
          <t>Director, MSD for Mothers (UK/Africa lead)</t>
        </is>
      </c>
      <c r="I69" t="inlineStr">
        <is>
          <t>Grant/programme</t>
        </is>
      </c>
      <c r="J69" t="n">
        <v>7</v>
      </c>
      <c r="K69" t="inlineStr">
        <is>
          <t>Email with complementarity to mDoc</t>
        </is>
      </c>
      <c r="L69" t="inlineStr">
        <is>
          <t>Funding; credibility</t>
        </is>
      </c>
    </row>
    <row r="70">
      <c r="A70" t="inlineStr">
        <is>
          <t>Grand Challenges Canada</t>
        </is>
      </c>
      <c r="B70" t="inlineStr">
        <is>
          <t>Canada/Global</t>
        </is>
      </c>
      <c r="C70" t="inlineStr">
        <is>
          <t>Funder</t>
        </is>
      </c>
      <c r="D70" t="inlineStr">
        <is>
          <t>7 Funding</t>
        </is>
      </c>
      <c r="E70" t="inlineStr">
        <is>
          <t>Seed and transition-to-scale funding for global-health innovations</t>
        </is>
      </c>
      <c r="F70" t="inlineStr">
        <is>
          <t>Application when call opens</t>
        </is>
      </c>
      <c r="G70" t="inlineStr">
        <is>
          <t>Evidence plan</t>
        </is>
      </c>
      <c r="H70" t="inlineStr">
        <is>
          <t>Program lead, Global Health</t>
        </is>
      </c>
      <c r="I70" t="inlineStr">
        <is>
          <t>Grant</t>
        </is>
      </c>
      <c r="J70" t="n">
        <v>7</v>
      </c>
      <c r="K70" t="inlineStr">
        <is>
          <t>Apply</t>
        </is>
      </c>
      <c r="L70" t="inlineStr">
        <is>
          <t>Funding</t>
        </is>
      </c>
    </row>
    <row r="71">
      <c r="A71" t="inlineStr">
        <is>
          <t>Fondation Botnar</t>
        </is>
      </c>
      <c r="B71" t="inlineStr">
        <is>
          <t>Switzerland</t>
        </is>
      </c>
      <c r="C71" t="inlineStr">
        <is>
          <t>Foundation</t>
        </is>
      </c>
      <c r="D71" t="inlineStr">
        <is>
          <t>7 Funding</t>
        </is>
      </c>
      <c r="E71" t="inlineStr">
        <is>
          <t>Digital health for young people incl. maternal</t>
        </is>
      </c>
      <c r="F71" t="inlineStr">
        <is>
          <t>Programme funding</t>
        </is>
      </c>
      <c r="G71" t="inlineStr">
        <is>
          <t>Evidence</t>
        </is>
      </c>
      <c r="H71" t="inlineStr">
        <is>
          <t>Programme Manager</t>
        </is>
      </c>
      <c r="I71" t="inlineStr">
        <is>
          <t>Grant</t>
        </is>
      </c>
      <c r="J71" t="n">
        <v>5</v>
      </c>
      <c r="K71" t="inlineStr">
        <is>
          <t>Apply</t>
        </is>
      </c>
      <c r="L71" t="inlineStr">
        <is>
          <t>Funding</t>
        </is>
      </c>
    </row>
    <row r="72">
      <c r="A72" t="inlineStr">
        <is>
          <t>Children's Investment Fund Foundation (CIFF)</t>
        </is>
      </c>
      <c r="B72" t="inlineStr">
        <is>
          <t>UK/Global</t>
        </is>
      </c>
      <c r="C72" t="inlineStr">
        <is>
          <t>Foundation</t>
        </is>
      </c>
      <c r="D72" t="inlineStr">
        <is>
          <t>7 Funding</t>
        </is>
      </c>
      <c r="E72" t="inlineStr">
        <is>
          <t>Maternal and child health at scale</t>
        </is>
      </c>
      <c r="F72" t="inlineStr">
        <is>
          <t>Programme funding via partners</t>
        </is>
      </c>
      <c r="G72" t="inlineStr">
        <is>
          <t>Evidence</t>
        </is>
      </c>
      <c r="H72" t="inlineStr">
        <is>
          <t>Director, Maternal &amp; Child Health</t>
        </is>
      </c>
      <c r="I72" t="inlineStr">
        <is>
          <t>Grant (via partner)</t>
        </is>
      </c>
      <c r="J72" t="n">
        <v>4</v>
      </c>
      <c r="K72" t="inlineStr">
        <is>
          <t>Via implementer</t>
        </is>
      </c>
      <c r="L72" t="inlineStr">
        <is>
          <t>Funding</t>
        </is>
      </c>
    </row>
    <row r="73">
      <c r="A73" t="inlineStr">
        <is>
          <t>Roche Diagnostics (UK / Global)</t>
        </is>
      </c>
      <c r="B73" t="inlineStr">
        <is>
          <t>UK/Switzerland</t>
        </is>
      </c>
      <c r="C73" t="inlineStr">
        <is>
          <t>Diagnostics</t>
        </is>
      </c>
      <c r="D73" t="inlineStr">
        <is>
          <t>6 Strategic</t>
        </is>
      </c>
      <c r="E73" t="inlineStr">
        <is>
          <t>sFlt-1/PlGF pre-eclampsia testing recommended in NICE NG133</t>
        </is>
      </c>
      <c r="F73" t="inlineStr">
        <is>
          <t>Pathway alignment; later co-development of a home-monitoring-to-test pathway</t>
        </is>
      </c>
      <c r="G73" t="inlineStr">
        <is>
          <t>Pathway data; adherence</t>
        </is>
      </c>
      <c r="H73" t="inlineStr">
        <is>
          <t>Medical Affairs Lead, Women's Health; Head of Market Access UK</t>
        </is>
      </c>
      <c r="I73" t="inlineStr">
        <is>
          <t>Co-development (year 2)</t>
        </is>
      </c>
      <c r="J73" t="n">
        <v>7</v>
      </c>
      <c r="K73" t="inlineStr">
        <is>
          <t>Medical affairs email after first LOI</t>
        </is>
      </c>
      <c r="L73" t="inlineStr">
        <is>
          <t>Pathway credibility; commercial</t>
        </is>
      </c>
    </row>
    <row r="74">
      <c r="A74" t="inlineStr">
        <is>
          <t>Ferring Pharmaceuticals</t>
        </is>
      </c>
      <c r="B74" t="inlineStr">
        <is>
          <t>Switzerland/UK</t>
        </is>
      </c>
      <c r="C74" t="inlineStr">
        <is>
          <t>Pharma</t>
        </is>
      </c>
      <c r="D74" t="inlineStr">
        <is>
          <t>6 Strategic</t>
        </is>
      </c>
      <c r="E74" t="inlineStr">
        <is>
          <t>Postpartum haemorrhage and reproductive medicine</t>
        </is>
      </c>
      <c r="F74" t="inlineStr">
        <is>
          <t>Programme partnership (postpartum)</t>
        </is>
      </c>
      <c r="G74" t="inlineStr">
        <is>
          <t>RWE</t>
        </is>
      </c>
      <c r="H74" t="inlineStr">
        <is>
          <t>Medical Affairs, Women's Health</t>
        </is>
      </c>
      <c r="I74" t="inlineStr">
        <is>
          <t>Strategic (year 2–3)</t>
        </is>
      </c>
      <c r="J74" t="n">
        <v>4</v>
      </c>
      <c r="K74" t="inlineStr">
        <is>
          <t>Later</t>
        </is>
      </c>
      <c r="L74" t="inlineStr">
        <is>
          <t>Postpartum</t>
        </is>
      </c>
    </row>
    <row r="75">
      <c r="A75" t="inlineStr">
        <is>
          <t>Organon</t>
        </is>
      </c>
      <c r="B75" t="inlineStr">
        <is>
          <t>US/UK</t>
        </is>
      </c>
      <c r="C75" t="inlineStr">
        <is>
          <t>Pharma (women's health)</t>
        </is>
      </c>
      <c r="D75" t="inlineStr">
        <is>
          <t>6 Strategic</t>
        </is>
      </c>
      <c r="E75" t="inlineStr">
        <is>
          <t>Women's-health company; contraception and maternal health interest</t>
        </is>
      </c>
      <c r="F75" t="inlineStr">
        <is>
          <t>Postpartum programme; RWE</t>
        </is>
      </c>
      <c r="G75" t="inlineStr">
        <is>
          <t>Cohort access under governance</t>
        </is>
      </c>
      <c r="H75" t="inlineStr">
        <is>
          <t>Head of Medical Affairs UK; Partnerships</t>
        </is>
      </c>
      <c r="I75" t="inlineStr">
        <is>
          <t>Strategic (year 2–3)</t>
        </is>
      </c>
      <c r="J75" t="n">
        <v>4</v>
      </c>
      <c r="K75" t="inlineStr">
        <is>
          <t>Later</t>
        </is>
      </c>
      <c r="L75" t="inlineStr">
        <is>
          <t>Women's health</t>
        </is>
      </c>
    </row>
    <row r="76">
      <c r="A76" t="inlineStr">
        <is>
          <t>Dr Yusuf Shittu — independent (NHS Clinical Entrepreneur Programme)</t>
        </is>
      </c>
      <c r="B76" t="inlineStr">
        <is>
          <t>UK</t>
        </is>
      </c>
      <c r="C76" t="inlineStr">
        <is>
          <t>Clinician founder / adviser</t>
        </is>
      </c>
      <c r="D76" t="inlineStr">
        <is>
          <t>2 Clinical</t>
        </is>
      </c>
      <c r="E76" t="inlineStr">
        <is>
          <t>A GP who has founded three companies and sits inside the NHS Clinical Entrepreneur Programme. The fastest honest read on whether the product is useful to clinicians</t>
        </is>
      </c>
      <c r="F76" t="inlineStr">
        <is>
          <t>Twenty minutes of criticism; a view on the clinical safety officer; a view on the Clinical Entrepreneur route</t>
        </is>
      </c>
      <c r="G76" t="inlineStr">
        <is>
          <t>Nothing yet. A paid advisory role later if he is interested</t>
        </is>
      </c>
      <c r="H76" t="inlineStr">
        <is>
          <t>N/A — approach him directly</t>
        </is>
      </c>
      <c r="I76" t="inlineStr">
        <is>
          <t>Adviser, then possible clinical advisory board</t>
        </is>
      </c>
      <c r="J76" t="inlineStr">
        <is>
          <t>8</t>
        </is>
      </c>
      <c r="K76" t="inlineStr">
        <is>
          <t>Already met in person at the APPG on 22 Sep 2026. Follow up the same evening, referencing what he actually said</t>
        </is>
      </c>
      <c r="L76" t="inlineStr">
        <is>
          <t>Clinical credibility, safety officer route, and a door into the NHS innovation networks</t>
        </is>
      </c>
      <c r="M76" t="inlineStr">
        <is>
          <t>LinkedIn profile seen 22 Sep 2026; no contact details held</t>
        </is>
      </c>
    </row>
  </sheetData>
  <autoFilter ref="A1:M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 stages</t>
        </is>
      </c>
    </row>
    <row r="2">
      <c r="A2" t="inlineStr">
        <is>
          <t>TARGET</t>
        </is>
      </c>
      <c r="B2" t="inlineStr">
        <is>
          <t>RESEARCHED</t>
        </is>
      </c>
      <c r="C2" t="inlineStr">
        <is>
          <t>CONTACTED</t>
        </is>
      </c>
      <c r="D2" t="inlineStr">
        <is>
          <t>RESPONSE</t>
        </is>
      </c>
      <c r="E2" t="inlineStr">
        <is>
          <t>MEETING</t>
        </is>
      </c>
      <c r="F2" t="inlineStr">
        <is>
          <t>DISCOVERY</t>
        </is>
      </c>
      <c r="G2" t="inlineStr">
        <is>
          <t>PROPOSAL</t>
        </is>
      </c>
      <c r="H2" t="inlineStr">
        <is>
          <t>PILOT</t>
        </is>
      </c>
      <c r="I2" t="inlineStr">
        <is>
          <t>MOU</t>
        </is>
      </c>
      <c r="J2" t="inlineStr">
        <is>
          <t>PARTNERSHIP</t>
        </is>
      </c>
      <c r="K2" t="inlineStr">
        <is>
          <t>SCALE</t>
        </is>
      </c>
    </row>
    <row r="4">
      <c r="A4" t="inlineStr">
        <is>
          <t>Stage rules</t>
        </is>
      </c>
    </row>
    <row r="5">
      <c r="A5" t="inlineStr">
        <is>
          <t>RESEARCHED: named title + reason</t>
        </is>
      </c>
    </row>
    <row r="6">
      <c r="A6" t="inlineStr">
        <is>
          <t>CONTACTED: personalised message sent</t>
        </is>
      </c>
    </row>
    <row r="7">
      <c r="A7" t="inlineStr">
        <is>
          <t>RESPONSE: any reply logged</t>
        </is>
      </c>
    </row>
    <row r="8">
      <c r="A8" t="inlineStr">
        <is>
          <t>MEETING: booked with date</t>
        </is>
      </c>
    </row>
    <row r="9">
      <c r="A9" t="inlineStr">
        <is>
          <t>DISCOVERY: needs and objections captured</t>
        </is>
      </c>
    </row>
    <row r="10">
      <c r="A10" t="inlineStr">
        <is>
          <t>PROPOSAL: Part 14 structure sent</t>
        </is>
      </c>
    </row>
    <row r="11">
      <c r="A11" t="inlineStr">
        <is>
          <t>PILOT: safety artefacts in place; evaluation agreed</t>
        </is>
      </c>
    </row>
    <row r="12">
      <c r="A12" t="inlineStr">
        <is>
          <t>MOU: solicitor-reviewed</t>
        </is>
      </c>
    </row>
    <row r="13">
      <c r="A13" t="inlineStr">
        <is>
          <t>PARTNERSHIP: signed instrument</t>
        </is>
      </c>
    </row>
    <row r="14">
      <c r="A14" t="inlineStr">
        <is>
          <t>SCALE: second site/programme</t>
        </is>
      </c>
    </row>
    <row r="16">
      <c r="A16" t="inlineStr">
        <is>
          <t>Monthly KPIs</t>
        </is>
      </c>
      <c r="B16" t="inlineStr">
        <is>
          <t>Target</t>
        </is>
      </c>
    </row>
    <row r="17">
      <c r="A17" t="inlineStr">
        <is>
          <t>Targets researched</t>
        </is>
      </c>
      <c r="B17" t="n">
        <v>30</v>
      </c>
    </row>
    <row r="18">
      <c r="A18" t="inlineStr">
        <is>
          <t>Contacted</t>
        </is>
      </c>
      <c r="B18" t="n">
        <v>20</v>
      </c>
    </row>
    <row r="19">
      <c r="A19" t="inlineStr">
        <is>
          <t>Response rate</t>
        </is>
      </c>
      <c r="B19" t="inlineStr">
        <is>
          <t>≥30%</t>
        </is>
      </c>
    </row>
    <row r="20">
      <c r="A20" t="inlineStr">
        <is>
          <t>Meetings</t>
        </is>
      </c>
      <c r="B20" t="n">
        <v>8</v>
      </c>
    </row>
    <row r="21">
      <c r="A21" t="inlineStr">
        <is>
          <t>Discovery→proposal conversion</t>
        </is>
      </c>
      <c r="B21" t="inlineStr">
        <is>
          <t>≥40%</t>
        </is>
      </c>
    </row>
    <row r="22">
      <c r="A22" t="inlineStr">
        <is>
          <t>Proposals out</t>
        </is>
      </c>
      <c r="B22" t="n">
        <v>3</v>
      </c>
    </row>
    <row r="23">
      <c r="A23" t="inlineStr">
        <is>
          <t>Pilots/LOIs signed</t>
        </is>
      </c>
      <c r="B23" t="inlineStr">
        <is>
          <t>1 (month 2), 2 (month 3)</t>
        </is>
      </c>
    </row>
    <row r="24">
      <c r="A24" t="inlineStr">
        <is>
          <t>Days first contact→meeting</t>
        </is>
      </c>
      <c r="B24" t="inlineStr">
        <is>
          <t>≤14</t>
        </is>
      </c>
    </row>
    <row r="25">
      <c r="A25" t="inlineStr">
        <is>
          <t>Tier-1 partners secured by Day 90</t>
        </is>
      </c>
      <c r="B25" t="n">
        <v>4</v>
      </c>
    </row>
    <row r="26">
      <c r="A26" t="inlineStr">
        <is>
          <t>Weighted pipeline value</t>
        </is>
      </c>
      <c r="B26" t="inlineStr">
        <is>
          <t>tracked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Formula/Value</t>
        </is>
      </c>
    </row>
    <row r="2">
      <c r="A2" t="inlineStr">
        <is>
          <t>Total targets</t>
        </is>
      </c>
      <c r="B2">
        <f>COUNTA('01 PARTNER CRM'!A:A)-1</f>
        <v/>
      </c>
    </row>
    <row r="3">
      <c r="A3" t="inlineStr">
        <is>
          <t>TARGET</t>
        </is>
      </c>
      <c r="B3">
        <f>COUNTIF('01 PARTNER CRM'!R:R,"TARGET")</f>
        <v/>
      </c>
    </row>
    <row r="4">
      <c r="A4" t="inlineStr">
        <is>
          <t>RESEARCHED</t>
        </is>
      </c>
      <c r="B4">
        <f>COUNTIF('01 PARTNER CRM'!R:R,"RESEARCHED")</f>
        <v/>
      </c>
    </row>
    <row r="5">
      <c r="A5" t="inlineStr">
        <is>
          <t>CONTACTED</t>
        </is>
      </c>
      <c r="B5">
        <f>COUNTIF('01 PARTNER CRM'!R:R,"CONTACTED")</f>
        <v/>
      </c>
    </row>
    <row r="6">
      <c r="A6" t="inlineStr">
        <is>
          <t>RESPONSE</t>
        </is>
      </c>
      <c r="B6">
        <f>COUNTIF('01 PARTNER CRM'!R:R,"RESPONSE")</f>
        <v/>
      </c>
    </row>
    <row r="7">
      <c r="A7" t="inlineStr">
        <is>
          <t>MEETING</t>
        </is>
      </c>
      <c r="B7">
        <f>COUNTIF('01 PARTNER CRM'!R:R,"MEETING")</f>
        <v/>
      </c>
    </row>
    <row r="8">
      <c r="A8" t="inlineStr">
        <is>
          <t>DISCOVERY</t>
        </is>
      </c>
      <c r="B8">
        <f>COUNTIF('01 PARTNER CRM'!R:R,"DISCOVERY")</f>
        <v/>
      </c>
    </row>
    <row r="9">
      <c r="A9" t="inlineStr">
        <is>
          <t>PROPOSAL</t>
        </is>
      </c>
      <c r="B9">
        <f>COUNTIF('01 PARTNER CRM'!R:R,"PROPOSAL")</f>
        <v/>
      </c>
    </row>
    <row r="10">
      <c r="A10" t="inlineStr">
        <is>
          <t>PILOT</t>
        </is>
      </c>
      <c r="B10">
        <f>COUNTIF('01 PARTNER CRM'!R:R,"PILOT")</f>
        <v/>
      </c>
    </row>
    <row r="11">
      <c r="A11" t="inlineStr">
        <is>
          <t>MOU</t>
        </is>
      </c>
      <c r="B11">
        <f>COUNTIF('01 PARTNER CRM'!R:R,"MOU")</f>
        <v/>
      </c>
    </row>
    <row r="12">
      <c r="A12" t="inlineStr">
        <is>
          <t>PARTNERSHIP</t>
        </is>
      </c>
      <c r="B12">
        <f>COUNTIF('01 PARTNER CRM'!R:R,"PARTNERSHIP")</f>
        <v/>
      </c>
    </row>
    <row r="13">
      <c r="A13" t="inlineStr">
        <is>
          <t>SCALE</t>
        </is>
      </c>
      <c r="B13">
        <f>COUNTIF('01 PARTNER CRM'!R:R,"SCALE")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2026-09-08T13:05:39Z</dcterms:created>
  <dcterms:modified xmlns:dcterms="http://purl.org/dc/terms/" xmlns:xsi="http://www.w3.org/2001/XMLSchema-instance" xsi:type="dcterms:W3CDTF">2026-09-22T14:45:26Z</dcterms:modified>
</cp:coreProperties>
</file>