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UK Calculator" sheetId="2" state="visible" r:id="rId2"/>
    <sheet xmlns:r="http://schemas.openxmlformats.org/officeDocument/2006/relationships" name="Programme Calculator" sheetId="3" state="visible" r:id="rId3"/>
    <sheet xmlns:r="http://schemas.openxmlformats.org/officeDocument/2006/relationships" name="Price Book" sheetId="4" state="visible" r:id="rId4"/>
    <sheet xmlns:r="http://schemas.openxmlformats.org/officeDocument/2006/relationships" name="Pack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"/>
    <numFmt numFmtId="165" formatCode="£#,##0.00"/>
  </numFmts>
  <fonts count="9">
    <font>
      <name val="Calibri"/>
      <family val="2"/>
      <color theme="1"/>
      <sz val="11"/>
      <scheme val="minor"/>
    </font>
    <font>
      <b val="1"/>
      <color rgb="00153892"/>
      <sz val="13"/>
    </font>
    <font>
      <b val="1"/>
      <color rgb="00FFFFFF"/>
    </font>
    <font>
      <b val="1"/>
      <color rgb="00153892"/>
    </font>
    <font>
      <b val="1"/>
    </font>
    <font>
      <b val="1"/>
      <color rgb="00153892"/>
      <sz val="24"/>
    </font>
    <font>
      <color rgb="004B5568"/>
      <sz val="11"/>
    </font>
    <font>
      <b val="1"/>
      <color rgb="00153892"/>
      <sz val="12"/>
    </font>
    <font>
      <i val="1"/>
      <color rgb="004B5568"/>
    </font>
  </fonts>
  <fills count="5">
    <fill>
      <patternFill/>
    </fill>
    <fill>
      <patternFill patternType="gray125"/>
    </fill>
    <fill>
      <patternFill patternType="solid">
        <fgColor rgb="00153892"/>
      </patternFill>
    </fill>
    <fill>
      <patternFill patternType="solid">
        <fgColor rgb="00FFF7DD"/>
      </patternFill>
    </fill>
    <fill>
      <patternFill patternType="solid">
        <fgColor rgb="00E9ED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3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9" fontId="0" fillId="3" borderId="0" pivotButton="0" quotePrefix="0" xfId="0"/>
    <xf numFmtId="164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0" fillId="4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857500" cy="1123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0:H27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70" customWidth="1" min="3" max="3"/>
  </cols>
  <sheetData>
    <row r="10">
      <c r="B10" s="1" t="inlineStr">
        <is>
          <t>MaternaLink Pricing Calculator</t>
        </is>
      </c>
    </row>
    <row r="12">
      <c r="B12" s="2" t="inlineStr">
        <is>
          <t>Three tiers across nine modules. Yellow cells are inputs you can change. Two modules are marked as not sellable until they hold a medical device licence. Every price is an ESTIMATE until tested with three buyers per segment.</t>
        </is>
      </c>
    </row>
    <row r="13"/>
    <row r="14"/>
    <row r="16">
      <c r="B16" s="3" t="inlineStr">
        <is>
          <t>Prepared for</t>
        </is>
      </c>
      <c r="C16" t="inlineStr">
        <is>
          <t>The Founder, Vytalix</t>
        </is>
      </c>
    </row>
    <row r="17">
      <c r="B17" s="3" t="inlineStr">
        <is>
          <t>Date</t>
        </is>
      </c>
      <c r="C17" t="inlineStr">
        <is>
          <t>8 September 2026</t>
        </is>
      </c>
    </row>
    <row r="18">
      <c r="B18" s="3" t="inlineStr">
        <is>
          <t>Version</t>
        </is>
      </c>
      <c r="C18" t="inlineStr">
        <is>
          <t>1.0 · Confidential draft</t>
        </is>
      </c>
    </row>
    <row r="20">
      <c r="B20" s="4" t="inlineStr">
        <is>
          <t>Contents</t>
        </is>
      </c>
    </row>
    <row r="21">
      <c r="B21" s="5" t="inlineStr">
        <is>
          <t>UK Calculator</t>
        </is>
      </c>
      <c r="C21" t="inlineStr">
        <is>
          <t>A UK hospital, tier by tier, with cost to serve and margin</t>
        </is>
      </c>
    </row>
    <row r="22">
      <c r="B22" s="5" t="inlineStr">
        <is>
          <t>Programme Calculator</t>
        </is>
      </c>
      <c r="C22" t="inlineStr">
        <is>
          <t>An African state or NGO programme, tiered by volume</t>
        </is>
      </c>
    </row>
    <row r="23">
      <c r="B23" s="5" t="inlineStr">
        <is>
          <t>Price Book</t>
        </is>
      </c>
      <c r="C23" t="inlineStr">
        <is>
          <t>Every module, both markets, and whether you can sell it yet</t>
        </is>
      </c>
    </row>
    <row r="24">
      <c r="B24" s="5" t="inlineStr">
        <is>
          <t>Packages</t>
        </is>
      </c>
      <c r="C24" t="inlineStr">
        <is>
          <t>The three packages to offer, and the rules you do not break</t>
        </is>
      </c>
    </row>
    <row r="27">
      <c r="B27" s="6" t="inlineStr">
        <is>
          <t>Colour code: yellow cells are inputs you can change; blue headers are fixed; every figure is an ESTIMATE unless labelled VERIFIED (see FACTS_BASE).</t>
        </is>
      </c>
    </row>
  </sheetData>
  <mergeCells count="1">
    <mergeCell ref="B12:H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44" customWidth="1" min="3" max="3"/>
  </cols>
  <sheetData>
    <row r="1">
      <c r="A1" s="7" t="inlineStr">
        <is>
          <t>MATERNALINK PRICING CALCULATOR — UK HOSPITAL (change the yellow cells)</t>
        </is>
      </c>
    </row>
    <row r="3">
      <c r="A3" s="8" t="inlineStr">
        <is>
          <t>TIER 1 — every pregnant woman</t>
        </is>
      </c>
      <c r="B3" s="8" t="inlineStr">
        <is>
          <t>Value</t>
        </is>
      </c>
      <c r="C3" s="8" t="inlineStr">
        <is>
          <t>Notes</t>
        </is>
      </c>
    </row>
    <row r="4">
      <c r="A4" t="inlineStr">
        <is>
          <t>Births / women enrolled per year</t>
        </is>
      </c>
      <c r="B4" s="9" t="n">
        <v>5000</v>
      </c>
      <c r="C4" t="inlineStr">
        <is>
          <t>Drives the site-licence band</t>
        </is>
      </c>
    </row>
    <row r="5">
      <c r="A5" t="inlineStr">
        <is>
          <t>Tier 1 price per woman per year (£)</t>
        </is>
      </c>
      <c r="B5" s="9" t="n">
        <v>22</v>
      </c>
      <c r="C5" t="inlineStr">
        <is>
          <t>Range 16-30</t>
        </is>
      </c>
    </row>
    <row r="6">
      <c r="A6" t="inlineStr">
        <is>
          <t>Site licence (£)</t>
        </is>
      </c>
      <c r="B6" s="9" t="n">
        <v>20000</v>
      </c>
      <c r="C6" t="inlineStr">
        <is>
          <t>12k-30k by births</t>
        </is>
      </c>
    </row>
    <row r="8">
      <c r="A8" s="8" t="inlineStr">
        <is>
          <t>TIER 2 — women watched on a device</t>
        </is>
      </c>
      <c r="B8" s="8" t="inlineStr">
        <is>
          <t>Value</t>
        </is>
      </c>
      <c r="C8" s="8" t="inlineStr">
        <is>
          <t>Notes</t>
        </is>
      </c>
    </row>
    <row r="9">
      <c r="A9" t="inlineStr">
        <is>
          <t>Monitored women per year</t>
        </is>
      </c>
      <c r="B9" s="9" t="n">
        <v>800</v>
      </c>
      <c r="C9" t="inlineStr">
        <is>
          <t>Typically 15-25% of births</t>
        </is>
      </c>
    </row>
    <row r="10">
      <c r="A10" t="inlineStr">
        <is>
          <t>Price per monitored woman per MONTH (£)</t>
        </is>
      </c>
      <c r="B10" s="9" t="n">
        <v>28</v>
      </c>
      <c r="C10" t="inlineStr">
        <is>
          <t>Range 22-38</t>
        </is>
      </c>
    </row>
    <row r="11">
      <c r="A11" t="inlineStr">
        <is>
          <t>Average months monitored</t>
        </is>
      </c>
      <c r="B11" s="9" t="n">
        <v>4.2</v>
      </c>
      <c r="C11" t="inlineStr">
        <is>
          <t>16-22 weeks</t>
        </is>
      </c>
    </row>
    <row r="12">
      <c r="A12" t="inlineStr">
        <is>
          <t>Devices in rotation</t>
        </is>
      </c>
      <c r="B12" s="9" t="n">
        <v>300</v>
      </c>
      <c r="C12" t="inlineStr">
        <is>
          <t>Fewer than monitored women; they rotate</t>
        </is>
      </c>
    </row>
    <row r="13">
      <c r="A13" t="inlineStr">
        <is>
          <t>Device lease charged per month (£)</t>
        </is>
      </c>
      <c r="B13" s="9" t="n">
        <v>6</v>
      </c>
      <c r="C13" t="inlineStr">
        <is>
          <t>Range 4.50-7.00</t>
        </is>
      </c>
    </row>
    <row r="15">
      <c r="A15" s="8" t="inlineStr">
        <is>
          <t>TIER 3 — the institution</t>
        </is>
      </c>
      <c r="B15" s="8" t="inlineStr">
        <is>
          <t>Value</t>
        </is>
      </c>
      <c r="C15" s="8" t="inlineStr">
        <is>
          <t>Notes</t>
        </is>
      </c>
    </row>
    <row r="16">
      <c r="A16" t="inlineStr">
        <is>
          <t>Hospital dashboard (£/year)</t>
        </is>
      </c>
      <c r="B16" s="9" t="n">
        <v>28000</v>
      </c>
      <c r="C16" t="inlineStr">
        <is>
          <t>18k-40k by births</t>
        </is>
      </c>
    </row>
    <row r="17">
      <c r="A17" t="inlineStr">
        <is>
          <t>Integration interfaces</t>
        </is>
      </c>
      <c r="B17" s="9" t="n">
        <v>1</v>
      </c>
      <c r="C17" t="inlineStr"/>
    </row>
    <row r="18">
      <c r="A18" t="inlineStr">
        <is>
          <t>Integration setup each (£)</t>
        </is>
      </c>
      <c r="B18" s="9" t="n">
        <v>25000</v>
      </c>
      <c r="C18" t="inlineStr">
        <is>
          <t>15k-40k, one-off</t>
        </is>
      </c>
    </row>
    <row r="19">
      <c r="A19" t="inlineStr">
        <is>
          <t>Integration annual each (£)</t>
        </is>
      </c>
      <c r="B19" s="9" t="n">
        <v>6000</v>
      </c>
      <c r="C19" t="inlineStr">
        <is>
          <t>4k-8k</t>
        </is>
      </c>
    </row>
    <row r="21">
      <c r="A21" s="8" t="inlineStr">
        <is>
          <t>ADD-ON MODULES</t>
        </is>
      </c>
      <c r="B21" s="8" t="inlineStr">
        <is>
          <t>Value</t>
        </is>
      </c>
      <c r="C21" s="8" t="inlineStr">
        <is>
          <t>Notes</t>
        </is>
      </c>
    </row>
    <row r="22">
      <c r="A22" t="inlineStr">
        <is>
          <t>Newborn module per birth (£)</t>
        </is>
      </c>
      <c r="B22" s="9" t="n">
        <v>10</v>
      </c>
      <c r="C22" t="inlineStr">
        <is>
          <t>8-14. Excludes jaundice imaging</t>
        </is>
      </c>
    </row>
    <row r="23">
      <c r="A23" t="inlineStr">
        <is>
          <t>Voice diary per woman per year (£)</t>
        </is>
      </c>
      <c r="B23" s="9" t="n">
        <v>0</v>
      </c>
      <c r="C23" t="inlineStr">
        <is>
          <t>3-5 once built</t>
        </is>
      </c>
    </row>
    <row r="24">
      <c r="A24" t="inlineStr">
        <is>
          <t>Glucose: women with the condition</t>
        </is>
      </c>
      <c r="B24" s="9" t="n">
        <v>0</v>
      </c>
      <c r="C24" t="inlineStr">
        <is>
          <t>About 5-10% of the cohort</t>
        </is>
      </c>
    </row>
    <row r="25">
      <c r="A25" t="inlineStr">
        <is>
          <t>Glucose price each per year (£)</t>
        </is>
      </c>
      <c r="B25" s="9" t="n">
        <v>25</v>
      </c>
      <c r="C25" t="inlineStr">
        <is>
          <t>20-30, after a regulatory opinion</t>
        </is>
      </c>
    </row>
    <row r="26">
      <c r="A26" t="inlineStr">
        <is>
          <t>AI engine uplift on Tier 2</t>
        </is>
      </c>
      <c r="B26" s="10" t="n">
        <v>0</v>
      </c>
      <c r="C26" t="inlineStr">
        <is>
          <t>0.25-0.35 ONLY after certification</t>
        </is>
      </c>
    </row>
    <row r="28">
      <c r="A28" s="8" t="inlineStr">
        <is>
          <t>SERVICE AND SETUP</t>
        </is>
      </c>
      <c r="B28" s="8" t="inlineStr">
        <is>
          <t>Value</t>
        </is>
      </c>
      <c r="C28" s="8" t="inlineStr">
        <is>
          <t>Notes</t>
        </is>
      </c>
    </row>
    <row r="29">
      <c r="A29" t="inlineStr">
        <is>
          <t>Service plan (0.20 Std / 0.26 Enh / 0.32 Prem)</t>
        </is>
      </c>
      <c r="B29" s="10" t="n">
        <v>0.26</v>
      </c>
      <c r="C29" t="inlineStr"/>
    </row>
    <row r="30">
      <c r="A30" t="inlineStr">
        <is>
          <t>Implementation one-off (£)</t>
        </is>
      </c>
      <c r="B30" s="9" t="n">
        <v>45000</v>
      </c>
      <c r="C30" t="inlineStr">
        <is>
          <t>25k-75k</t>
        </is>
      </c>
    </row>
    <row r="31">
      <c r="A31" t="inlineStr">
        <is>
          <t>Cost to serve one monitored woman per month (£)</t>
        </is>
      </c>
      <c r="B31" s="9" t="n">
        <v>6.5</v>
      </c>
      <c r="C31" t="inlineStr">
        <is>
          <t>ESTIMATE — your developer must confirm</t>
        </is>
      </c>
    </row>
    <row r="33">
      <c r="A33" s="8" t="inlineStr">
        <is>
          <t>OUTPUTS</t>
        </is>
      </c>
      <c r="B33" s="8" t="inlineStr">
        <is>
          <t>£</t>
        </is>
      </c>
      <c r="C33" s="8" t="inlineStr"/>
    </row>
    <row r="34">
      <c r="A34" t="inlineStr">
        <is>
          <t>Tier 1 revenue</t>
        </is>
      </c>
      <c r="B34" s="11">
        <f>B4*B5+B6</f>
        <v/>
      </c>
    </row>
    <row r="35">
      <c r="A35" t="inlineStr">
        <is>
          <t>Tier 2 revenue</t>
        </is>
      </c>
      <c r="B35" s="11">
        <f>B9*B10*B11</f>
        <v/>
      </c>
    </row>
    <row r="36">
      <c r="A36" t="inlineStr">
        <is>
          <t>AI engine uplift</t>
        </is>
      </c>
      <c r="B36" s="11">
        <f>B35*B26</f>
        <v/>
      </c>
    </row>
    <row r="37">
      <c r="A37" t="inlineStr">
        <is>
          <t>Newborn module</t>
        </is>
      </c>
      <c r="B37" s="11">
        <f>B4*B22</f>
        <v/>
      </c>
    </row>
    <row r="38">
      <c r="A38" t="inlineStr">
        <is>
          <t>Voice diary</t>
        </is>
      </c>
      <c r="B38" s="11">
        <f>B4*B23</f>
        <v/>
      </c>
    </row>
    <row r="39">
      <c r="A39" t="inlineStr">
        <is>
          <t>Glucose module</t>
        </is>
      </c>
      <c r="B39" s="11">
        <f>B24*B25</f>
        <v/>
      </c>
    </row>
    <row r="40">
      <c r="A40" t="inlineStr">
        <is>
          <t>Hospital dashboard</t>
        </is>
      </c>
      <c r="B40" s="11">
        <f>B16</f>
        <v/>
      </c>
    </row>
    <row r="41">
      <c r="A41" t="inlineStr">
        <is>
          <t>Integration, annual</t>
        </is>
      </c>
      <c r="B41" s="11">
        <f>B17*B19</f>
        <v/>
      </c>
    </row>
    <row r="42">
      <c r="A42" s="3" t="inlineStr">
        <is>
          <t>SOFTWARE SUBTOTAL</t>
        </is>
      </c>
      <c r="B42" s="12">
        <f>SUM(B34:B41)</f>
        <v/>
      </c>
    </row>
    <row r="43">
      <c r="A43" t="inlineStr">
        <is>
          <t>Service plan</t>
        </is>
      </c>
      <c r="B43" s="11">
        <f>B42*B29</f>
        <v/>
      </c>
    </row>
    <row r="44">
      <c r="A44" t="inlineStr">
        <is>
          <t>Device leases (annual)</t>
        </is>
      </c>
      <c r="B44" s="11">
        <f>B12*B13*12</f>
        <v/>
      </c>
    </row>
    <row r="45">
      <c r="A45" s="3" t="inlineStr">
        <is>
          <t>RECURRING ANNUAL TOTAL</t>
        </is>
      </c>
      <c r="B45" s="12">
        <f>B42+B43+B44</f>
        <v/>
      </c>
    </row>
    <row r="46">
      <c r="A46" t="inlineStr">
        <is>
          <t>One-off: implementation + integration build</t>
        </is>
      </c>
      <c r="B46" s="11">
        <f>B30+B17*B18</f>
        <v/>
      </c>
    </row>
    <row r="47">
      <c r="A47" s="3" t="inlineStr">
        <is>
          <t>YEAR 1 TOTAL</t>
        </is>
      </c>
      <c r="B47" s="12">
        <f>B45+B46</f>
        <v/>
      </c>
    </row>
    <row r="48">
      <c r="A48" s="3" t="inlineStr">
        <is>
          <t>YEAR 2+ RUN RATE</t>
        </is>
      </c>
      <c r="B48" s="12">
        <f>B45</f>
        <v/>
      </c>
    </row>
    <row r="49">
      <c r="A49" t="inlineStr">
        <is>
          <t>Year 1 revenue per birth (£)</t>
        </is>
      </c>
      <c r="B49" s="13">
        <f>IF(B4&gt;0,B47/B4,0)</f>
        <v/>
      </c>
    </row>
    <row r="50">
      <c r="A50" t="inlineStr">
        <is>
          <t>Run-rate revenue per birth (£)</t>
        </is>
      </c>
      <c r="B50" s="13">
        <f>IF(B4&gt;0,B45/B4,0)</f>
        <v/>
      </c>
    </row>
    <row r="51">
      <c r="A51" t="inlineStr">
        <is>
          <t>Your cost to serve the monitored women</t>
        </is>
      </c>
      <c r="B51" s="11">
        <f>B9*B11*B31</f>
        <v/>
      </c>
    </row>
    <row r="52">
      <c r="A52" t="inlineStr">
        <is>
          <t>Gross margin on Tier 2</t>
        </is>
      </c>
      <c r="B52" s="14">
        <f>IF(B35&gt;0,(B35-B51)/B35,0)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44" customWidth="1" min="3" max="3"/>
  </cols>
  <sheetData>
    <row r="1">
      <c r="A1" s="7" t="inlineStr">
        <is>
          <t>MATERNALINK PRICING CALCULATOR — AFRICAN PROGRAMME</t>
        </is>
      </c>
    </row>
    <row r="3">
      <c r="A3" s="8" t="inlineStr">
        <is>
          <t>TIER 1 — every woman</t>
        </is>
      </c>
      <c r="B3" s="8" t="inlineStr">
        <is>
          <t>Value</t>
        </is>
      </c>
      <c r="C3" s="8" t="inlineStr">
        <is>
          <t>Notes</t>
        </is>
      </c>
    </row>
    <row r="4">
      <c r="A4" t="inlineStr">
        <is>
          <t>Women enrolled per year</t>
        </is>
      </c>
      <c r="B4" s="9" t="n">
        <v>100000</v>
      </c>
      <c r="C4" t="inlineStr"/>
    </row>
    <row r="5">
      <c r="A5" t="inlineStr">
        <is>
          <t>Tier 1 price per woman (£)</t>
        </is>
      </c>
      <c r="B5" s="15">
        <f>IF(B4&lt;=5000,9,IF(B4&lt;=25000,7,IF(B4&lt;=100000,5,4)))</f>
        <v/>
      </c>
      <c r="C5" t="inlineStr">
        <is>
          <t>Formula applies the published volume tiers</t>
        </is>
      </c>
    </row>
    <row r="7">
      <c r="A7" s="8" t="inlineStr">
        <is>
          <t>TIER 2 — monitored women</t>
        </is>
      </c>
      <c r="B7" s="8" t="inlineStr">
        <is>
          <t>Value</t>
        </is>
      </c>
      <c r="C7" s="8" t="inlineStr">
        <is>
          <t>Notes</t>
        </is>
      </c>
    </row>
    <row r="8">
      <c r="A8" t="inlineStr">
        <is>
          <t>Monitored women</t>
        </is>
      </c>
      <c r="B8" s="9" t="n">
        <v>15000</v>
      </c>
      <c r="C8" t="inlineStr">
        <is>
          <t>About 15% of the cohort</t>
        </is>
      </c>
    </row>
    <row r="9">
      <c r="A9" t="inlineStr">
        <is>
          <t>Price per monitored woman per month (£)</t>
        </is>
      </c>
      <c r="B9" s="9" t="n">
        <v>4</v>
      </c>
      <c r="C9" t="inlineStr">
        <is>
          <t>Range 3-6</t>
        </is>
      </c>
    </row>
    <row r="10">
      <c r="A10" t="inlineStr">
        <is>
          <t>Average months monitored</t>
        </is>
      </c>
      <c r="B10" s="9" t="n">
        <v>4</v>
      </c>
      <c r="C10" t="inlineStr"/>
    </row>
    <row r="12">
      <c r="A12" s="8" t="inlineStr">
        <is>
          <t>MODULES AND INSTITUTION</t>
        </is>
      </c>
      <c r="B12" s="8" t="inlineStr">
        <is>
          <t>Value</t>
        </is>
      </c>
      <c r="C12" s="8" t="inlineStr">
        <is>
          <t>Notes</t>
        </is>
      </c>
    </row>
    <row r="13">
      <c r="A13" t="inlineStr">
        <is>
          <t>Newborn module per birth (£)</t>
        </is>
      </c>
      <c r="B13" s="9" t="n">
        <v>2</v>
      </c>
      <c r="C13" t="inlineStr">
        <is>
          <t>1.50-3.00</t>
        </is>
      </c>
    </row>
    <row r="14">
      <c r="A14" t="inlineStr">
        <is>
          <t>Government / regional dashboard (£)</t>
        </is>
      </c>
      <c r="B14" s="9" t="n">
        <v>120000</v>
      </c>
      <c r="C14" t="inlineStr">
        <is>
          <t>60k-250k by population</t>
        </is>
      </c>
    </row>
    <row r="15">
      <c r="A15" t="inlineStr">
        <is>
          <t>Facilities with triage</t>
        </is>
      </c>
      <c r="B15" s="9" t="n">
        <v>0</v>
      </c>
      <c r="C15" t="inlineStr"/>
    </row>
    <row r="16">
      <c r="A16" t="inlineStr">
        <is>
          <t>Triage per facility (£)</t>
        </is>
      </c>
      <c r="B16" s="9" t="n">
        <v>2500</v>
      </c>
      <c r="C16" t="inlineStr"/>
    </row>
    <row r="18">
      <c r="A18" s="8" t="inlineStr">
        <is>
          <t>SERVICE AND SETUP</t>
        </is>
      </c>
      <c r="B18" s="8" t="inlineStr">
        <is>
          <t>Value</t>
        </is>
      </c>
      <c r="C18" s="8" t="inlineStr">
        <is>
          <t>Notes</t>
        </is>
      </c>
    </row>
    <row r="19">
      <c r="A19" t="inlineStr">
        <is>
          <t>Service plan (0.20 / 0.28 / 0.35)</t>
        </is>
      </c>
      <c r="B19" s="10" t="n">
        <v>0.28</v>
      </c>
      <c r="C19" t="inlineStr"/>
    </row>
    <row r="20">
      <c r="A20" t="inlineStr">
        <is>
          <t>Training cohorts</t>
        </is>
      </c>
      <c r="B20" s="9" t="n">
        <v>30</v>
      </c>
      <c r="C20" t="inlineStr"/>
    </row>
    <row r="21">
      <c r="A21" t="inlineStr">
        <is>
          <t>Training per cohort (£)</t>
        </is>
      </c>
      <c r="B21" s="9" t="n">
        <v>1800</v>
      </c>
      <c r="C21" t="inlineStr"/>
    </row>
    <row r="22">
      <c r="A22" t="inlineStr">
        <is>
          <t>Implementation one-off (£)</t>
        </is>
      </c>
      <c r="B22" s="9" t="n">
        <v>150000</v>
      </c>
      <c r="C22" t="inlineStr">
        <is>
          <t>40k-200k by size</t>
        </is>
      </c>
    </row>
    <row r="24">
      <c r="A24" s="8" t="inlineStr">
        <is>
          <t>OUTPUTS</t>
        </is>
      </c>
      <c r="B24" s="8" t="inlineStr">
        <is>
          <t>£</t>
        </is>
      </c>
      <c r="C24" s="8" t="inlineStr"/>
    </row>
    <row r="25">
      <c r="A25" t="inlineStr">
        <is>
          <t>Tier 1 revenue</t>
        </is>
      </c>
      <c r="B25" s="11">
        <f>B4*B5</f>
        <v/>
      </c>
    </row>
    <row r="26">
      <c r="A26" t="inlineStr">
        <is>
          <t>Tier 2 revenue</t>
        </is>
      </c>
      <c r="B26" s="11">
        <f>B8*B9*B10</f>
        <v/>
      </c>
    </row>
    <row r="27">
      <c r="A27" t="inlineStr">
        <is>
          <t>Newborn module</t>
        </is>
      </c>
      <c r="B27" s="11">
        <f>B4*B13</f>
        <v/>
      </c>
    </row>
    <row r="28">
      <c r="A28" t="inlineStr">
        <is>
          <t>Government dashboard</t>
        </is>
      </c>
      <c r="B28" s="11">
        <f>B14</f>
        <v/>
      </c>
    </row>
    <row r="29">
      <c r="A29" t="inlineStr">
        <is>
          <t>Triage</t>
        </is>
      </c>
      <c r="B29" s="11">
        <f>B15*B16</f>
        <v/>
      </c>
    </row>
    <row r="30">
      <c r="A30" s="3" t="inlineStr">
        <is>
          <t>SOFTWARE SUBTOTAL</t>
        </is>
      </c>
      <c r="B30" s="12">
        <f>SUM(B25:B29)</f>
        <v/>
      </c>
    </row>
    <row r="31">
      <c r="A31" t="inlineStr">
        <is>
          <t>Service plan</t>
        </is>
      </c>
      <c r="B31" s="11">
        <f>MAX(B30*B19,12000)</f>
        <v/>
      </c>
      <c r="C31" t="inlineStr">
        <is>
          <t>Minimum £12,000</t>
        </is>
      </c>
    </row>
    <row r="32">
      <c r="A32" t="inlineStr">
        <is>
          <t>Training</t>
        </is>
      </c>
      <c r="B32" s="11">
        <f>B20*B21</f>
        <v/>
      </c>
      <c r="C32" t="inlineStr">
        <is>
          <t>Recurs: new staff every year</t>
        </is>
      </c>
    </row>
    <row r="33">
      <c r="A33" s="3" t="inlineStr">
        <is>
          <t>RECURRING ANNUAL TOTAL</t>
        </is>
      </c>
      <c r="B33" s="12">
        <f>B30+B31+B32</f>
        <v/>
      </c>
    </row>
    <row r="34">
      <c r="A34" s="3" t="inlineStr">
        <is>
          <t>YEAR 1 TOTAL</t>
        </is>
      </c>
      <c r="B34" s="12">
        <f>B33+B22</f>
        <v/>
      </c>
    </row>
    <row r="35">
      <c r="A35" s="3" t="inlineStr">
        <is>
          <t>YEAR 2+ RUN RATE</t>
        </is>
      </c>
      <c r="B35" s="12">
        <f>B33</f>
        <v/>
      </c>
    </row>
    <row r="36">
      <c r="A36" t="inlineStr">
        <is>
          <t>Year 1 cost per woman (£)</t>
        </is>
      </c>
      <c r="B36" s="13">
        <f>IF(B4&gt;0,B34/B4,0)</f>
        <v/>
      </c>
    </row>
    <row r="37">
      <c r="A37" t="inlineStr">
        <is>
          <t>Run-rate cost per woman (£)</t>
        </is>
      </c>
      <c r="B37" s="13">
        <f>IF(B4&gt;0,B35/B4,0)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1" customWidth="1" min="1" max="1"/>
    <col width="46" customWidth="1" min="2" max="2"/>
    <col width="46" customWidth="1" min="3" max="3"/>
    <col width="26" customWidth="1" min="4" max="4"/>
    <col width="45" customWidth="1" min="5" max="5"/>
  </cols>
  <sheetData>
    <row r="1">
      <c r="A1" s="16" t="inlineStr">
        <is>
          <t>Tier / module</t>
        </is>
      </c>
      <c r="B1" s="16" t="inlineStr">
        <is>
          <t>What it covers</t>
        </is>
      </c>
      <c r="C1" s="16" t="inlineStr">
        <is>
          <t>UK price</t>
        </is>
      </c>
      <c r="D1" s="16" t="inlineStr">
        <is>
          <t>Programme price</t>
        </is>
      </c>
      <c r="E1" s="16" t="inlineStr">
        <is>
          <t>Sell it yet?</t>
        </is>
      </c>
    </row>
    <row r="2">
      <c r="A2" t="inlineStr">
        <is>
          <t>TIER 1 — everyone</t>
        </is>
      </c>
      <c r="B2" t="inlineStr">
        <is>
          <t>App, appointments, education, symptoms, mood, fetal movement log</t>
        </is>
      </c>
      <c r="C2" t="inlineStr">
        <is>
          <t>£16-30 per woman per year + £12k-30k site licence</t>
        </is>
      </c>
      <c r="D2" t="inlineStr">
        <is>
          <t>£4-9 per woman per year</t>
        </is>
      </c>
      <c r="E2" t="inlineStr">
        <is>
          <t>Yes</t>
        </is>
      </c>
    </row>
    <row r="3">
      <c r="A3" t="inlineStr">
        <is>
          <t>TIER 2 — watched closely</t>
        </is>
      </c>
      <c r="B3" t="inlineStr">
        <is>
          <t>Connected BP monitor, active surveillance, escalation</t>
        </is>
      </c>
      <c r="C3" t="inlineStr">
        <is>
          <t>£22-38 per woman per MONTH</t>
        </is>
      </c>
      <c r="D3" t="inlineStr">
        <is>
          <t>£3-6 per woman per month</t>
        </is>
      </c>
      <c r="E3" t="inlineStr">
        <is>
          <t>Yes</t>
        </is>
      </c>
    </row>
    <row r="4">
      <c r="A4" t="inlineStr">
        <is>
          <t>TIER 3 — hospital dashboard</t>
        </is>
      </c>
      <c r="B4" t="inlineStr">
        <is>
          <t>Population view, response times, analytics</t>
        </is>
      </c>
      <c r="C4" t="inlineStr">
        <is>
          <t>£18k-40k per site per year</t>
        </is>
      </c>
      <c r="D4" t="inlineStr">
        <is>
          <t>Included in programme</t>
        </is>
      </c>
      <c r="E4" t="inlineStr">
        <is>
          <t>Yes</t>
        </is>
      </c>
    </row>
    <row r="5">
      <c r="A5" t="inlineStr">
        <is>
          <t>TIER 3 — government dashboard</t>
        </is>
      </c>
      <c r="B5" t="inlineStr">
        <is>
          <t>Regional and national intelligence, de-identified data</t>
        </is>
      </c>
      <c r="C5" t="inlineStr">
        <is>
          <t>n/a</t>
        </is>
      </c>
      <c r="D5" t="inlineStr">
        <is>
          <t>£60k-250k per year</t>
        </is>
      </c>
      <c r="E5" t="inlineStr">
        <is>
          <t>Yes</t>
        </is>
      </c>
    </row>
    <row r="6">
      <c r="A6" t="inlineStr">
        <is>
          <t>Clinician dashboard</t>
        </is>
      </c>
      <c r="B6" t="inlineStr">
        <is>
          <t>Patient list, red/amber/green, graphs, timeline, escalation</t>
        </is>
      </c>
      <c r="C6" t="inlineStr">
        <is>
          <t>Included in Tiers 1 and 2</t>
        </is>
      </c>
      <c r="D6" t="inlineStr">
        <is>
          <t>Included</t>
        </is>
      </c>
      <c r="E6" t="inlineStr">
        <is>
          <t>Yes, if the rules belong to the hospital</t>
        </is>
      </c>
    </row>
    <row r="7">
      <c r="A7" t="inlineStr">
        <is>
          <t>Newborn module</t>
        </is>
      </c>
      <c r="B7" t="inlineStr">
        <is>
          <t>Feeding, temperature, breathing, observations</t>
        </is>
      </c>
      <c r="C7" t="inlineStr">
        <is>
          <t>£8-14 per birth</t>
        </is>
      </c>
      <c r="D7" t="inlineStr">
        <is>
          <t>£1.50-3 per birth</t>
        </is>
      </c>
      <c r="E7" t="inlineStr">
        <is>
          <t>Yes, without jaundice imaging</t>
        </is>
      </c>
    </row>
    <row r="8">
      <c r="A8" t="inlineStr">
        <is>
          <t>Voice diary</t>
        </is>
      </c>
      <c r="B8" t="inlineStr">
        <is>
          <t>Storage and playback only, no analysis</t>
        </is>
      </c>
      <c r="C8" t="inlineStr">
        <is>
          <t>£3-5 per woman per year</t>
        </is>
      </c>
      <c r="D8" t="inlineStr">
        <is>
          <t>£1-2</t>
        </is>
      </c>
      <c r="E8" t="inlineStr">
        <is>
          <t>Yes</t>
        </is>
      </c>
    </row>
    <row r="9">
      <c r="A9" t="inlineStr">
        <is>
          <t>Glucose diary</t>
        </is>
      </c>
      <c r="B9" t="inlineStr">
        <is>
          <t>Self-reported readings against clinician targets</t>
        </is>
      </c>
      <c r="C9" t="inlineStr">
        <is>
          <t>£20-30 per woman with the condition</t>
        </is>
      </c>
      <c r="D9" t="inlineStr">
        <is>
          <t>£6-10</t>
        </is>
      </c>
      <c r="E9" t="inlineStr">
        <is>
          <t>After a regulatory opinion</t>
        </is>
      </c>
    </row>
    <row r="10">
      <c r="A10" t="inlineStr">
        <is>
          <t>Integration</t>
        </is>
      </c>
      <c r="B10" t="inlineStr">
        <is>
          <t>EPR/FHIR, secure API, access control, audit trail</t>
        </is>
      </c>
      <c r="C10" t="inlineStr">
        <is>
          <t>£15k-40k setup + £4k-8k a year</t>
        </is>
      </c>
      <c r="D10" t="inlineStr">
        <is>
          <t>£8k-25k + £3k</t>
        </is>
      </c>
      <c r="E10" t="inlineStr">
        <is>
          <t>Yes</t>
        </is>
      </c>
    </row>
    <row r="11">
      <c r="A11" t="inlineStr">
        <is>
          <t>AI ENGINE</t>
        </is>
      </c>
      <c r="B11" t="inlineStr">
        <is>
          <t>Maternal Instability Score, risk stratification, deterioration detection</t>
        </is>
      </c>
      <c r="C11" t="inlineStr">
        <is>
          <t>Add 25-35% to Tier 2</t>
        </is>
      </c>
      <c r="D11" t="inlineStr">
        <is>
          <t>Add 20%</t>
        </is>
      </c>
      <c r="E11" t="inlineStr">
        <is>
          <t>NO — needs a medical device licence</t>
        </is>
      </c>
    </row>
    <row r="12">
      <c r="A12" t="inlineStr">
        <is>
          <t>Jaundice photo screening</t>
        </is>
      </c>
      <c r="B12" t="inlineStr">
        <is>
          <t>Image-assisted newborn screening</t>
        </is>
      </c>
      <c r="C12" t="inlineStr">
        <is>
          <t>Not priced</t>
        </is>
      </c>
      <c r="D12" t="inlineStr">
        <is>
          <t>Not priced</t>
        </is>
      </c>
      <c r="E12" t="inlineStr">
        <is>
          <t>NO — a device, and heavily patented already</t>
        </is>
      </c>
    </row>
    <row r="13">
      <c r="A13" t="inlineStr">
        <is>
          <t>Devices</t>
        </is>
      </c>
      <c r="B13" t="inlineStr">
        <is>
          <t>Validated BP monitor, thermometer</t>
        </is>
      </c>
      <c r="C13" t="inlineStr">
        <is>
          <t>Lease £4.50-7 per month, or cost + 15%</t>
        </is>
      </c>
      <c r="D13" t="inlineStr">
        <is>
          <t>Lease £2-4 per month</t>
        </is>
      </c>
      <c r="E13" t="inlineStr">
        <is>
          <t>Yes, resell certified kit</t>
        </is>
      </c>
    </row>
    <row r="14">
      <c r="A14" t="inlineStr">
        <is>
          <t>Implementation</t>
        </is>
      </c>
      <c r="B14" t="inlineStr">
        <is>
          <t>Setup, configuration, training, safety paperwork</t>
        </is>
      </c>
      <c r="C14" t="inlineStr">
        <is>
          <t>£25k-75k per site</t>
        </is>
      </c>
      <c r="D14" t="inlineStr">
        <is>
          <t>£40k-200k per programme</t>
        </is>
      </c>
      <c r="E14" t="inlineStr">
        <is>
          <t>Yes</t>
        </is>
      </c>
    </row>
    <row r="15">
      <c r="A15" t="inlineStr">
        <is>
          <t>Service plan</t>
        </is>
      </c>
      <c r="B15" t="inlineStr">
        <is>
          <t>Support, releases, patching, safety maintenance</t>
        </is>
      </c>
      <c r="C15" t="inlineStr">
        <is>
          <t>20% / 26% / 32% of licence</t>
        </is>
      </c>
      <c r="D15" t="inlineStr">
        <is>
          <t>20% / 28% / 35%</t>
        </is>
      </c>
      <c r="E15" t="inlineStr">
        <is>
          <t>Yes</t>
        </is>
      </c>
    </row>
    <row r="16">
      <c r="A16" t="inlineStr">
        <is>
          <t>Pilot</t>
        </is>
      </c>
      <c r="B16" t="inlineStr">
        <is>
          <t>12 weeks, one site, evaluation report</t>
        </is>
      </c>
      <c r="C16" t="inlineStr">
        <is>
          <t>£40k-90k</t>
        </is>
      </c>
      <c r="D16" t="inlineStr">
        <is>
          <t>On scope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  <col width="30" customWidth="1" min="3" max="3"/>
    <col width="16" customWidth="1" min="4" max="4"/>
  </cols>
  <sheetData>
    <row r="1">
      <c r="A1" s="16" t="inlineStr">
        <is>
          <t>Package</t>
        </is>
      </c>
      <c r="B1" s="16" t="inlineStr">
        <is>
          <t>What is in it</t>
        </is>
      </c>
      <c r="C1" s="16" t="inlineStr">
        <is>
          <t>5,000-birth hospital, year 1</t>
        </is>
      </c>
      <c r="D1" s="16" t="inlineStr">
        <is>
          <t>Run rate</t>
        </is>
      </c>
    </row>
    <row r="2">
      <c r="A2" t="inlineStr">
        <is>
          <t>Essential</t>
        </is>
      </c>
      <c r="B2" t="inlineStr">
        <is>
          <t>Tier 1 for all, Tier 2 for 500 women, clinician dashboard, service plan</t>
        </is>
      </c>
      <c r="C2" t="inlineStr">
        <is>
          <t>About £250,000</t>
        </is>
      </c>
      <c r="D2" t="inlineStr">
        <is>
          <t>About £205,000</t>
        </is>
      </c>
    </row>
    <row r="3">
      <c r="A3" t="inlineStr">
        <is>
          <t>Complete</t>
        </is>
      </c>
      <c r="B3" t="inlineStr">
        <is>
          <t>Essential plus hospital dashboard, newborn module, one integration</t>
        </is>
      </c>
      <c r="C3" t="inlineStr">
        <is>
          <t>About £390,000</t>
        </is>
      </c>
      <c r="D3" t="inlineStr">
        <is>
          <t>About £320,000</t>
        </is>
      </c>
    </row>
    <row r="4">
      <c r="A4" t="inlineStr">
        <is>
          <t>Full ecosystem</t>
        </is>
      </c>
      <c r="B4" t="inlineStr">
        <is>
          <t>Complete plus 1,000 monitored, voice diary, glucose, premium support</t>
        </is>
      </c>
      <c r="C4" t="inlineStr">
        <is>
          <t>About £490,000</t>
        </is>
      </c>
      <c r="D4" t="inlineStr">
        <is>
          <t>About £410,000</t>
        </is>
      </c>
    </row>
    <row r="5"/>
    <row r="6">
      <c r="A6" t="inlineStr">
        <is>
          <t>Rule</t>
        </is>
      </c>
      <c r="B6" t="inlineStr">
        <is>
          <t>Detail</t>
        </is>
      </c>
    </row>
    <row r="7">
      <c r="A7" t="inlineStr">
        <is>
          <t>Pilot first</t>
        </is>
      </c>
      <c r="B7" t="inlineStr">
        <is>
          <t>12 weeks fixed price, half the fee credited against year one</t>
        </is>
      </c>
    </row>
    <row r="8">
      <c r="A8" t="inlineStr">
        <is>
          <t>Minimum contract</t>
        </is>
      </c>
      <c r="B8" t="inlineStr">
        <is>
          <t>£40,000 in the UK, £25,000 for a programme</t>
        </is>
      </c>
    </row>
    <row r="9">
      <c r="A9" t="inlineStr">
        <is>
          <t>No discounting below the floor</t>
        </is>
      </c>
      <c r="B9" t="inlineStr">
        <is>
          <t>Remove modules instead of cutting the price</t>
        </is>
      </c>
    </row>
    <row r="10">
      <c r="A10" t="inlineStr">
        <is>
          <t>Devices always separate</t>
        </is>
      </c>
      <c r="B10" t="inlineStr">
        <is>
          <t>Never inside the software price</t>
        </is>
      </c>
    </row>
    <row r="11">
      <c r="A11" t="inlineStr">
        <is>
          <t>Nothing unlicensed on a price list</t>
        </is>
      </c>
      <c r="B11" t="inlineStr">
        <is>
          <t>The AI engine and jaundice imaging stay off until certified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2026-09-22T14:45:27Z</dcterms:created>
  <dcterms:modified xmlns:dcterms="http://purl.org/dc/terms/" xmlns:xsi="http://www.w3.org/2001/XMLSchema-instance" xsi:type="dcterms:W3CDTF">2026-09-22T14:45:27Z</dcterms:modified>
</cp:coreProperties>
</file>