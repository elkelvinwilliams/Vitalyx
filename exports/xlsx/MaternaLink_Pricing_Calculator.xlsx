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UK Calculator" sheetId="2" state="visible" r:id="rId2"/>
    <sheet xmlns:r="http://schemas.openxmlformats.org/officeDocument/2006/relationships" name="Programme Calculator" sheetId="3" state="visible" r:id="rId3"/>
    <sheet xmlns:r="http://schemas.openxmlformats.org/officeDocument/2006/relationships" name="Price Bo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"/>
    <numFmt numFmtId="165" formatCode="£#,##0.00"/>
  </numFmts>
  <fonts count="9">
    <font>
      <name val="Calibri"/>
      <family val="2"/>
      <color theme="1"/>
      <sz val="11"/>
      <scheme val="minor"/>
    </font>
    <font>
      <b val="1"/>
      <color rgb="00153892"/>
      <sz val="13"/>
    </font>
    <font>
      <b val="1"/>
      <color rgb="00FFFFFF"/>
    </font>
    <font>
      <b val="1"/>
      <color rgb="00153892"/>
    </font>
    <font>
      <b val="1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i val="1"/>
      <color rgb="004B5568"/>
    </font>
  </fonts>
  <fills count="5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  <fill>
      <patternFill patternType="solid">
        <fgColor rgb="00E9ED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3" borderId="0" pivotButton="0" quotePrefix="0" xfId="0"/>
    <xf numFmtId="9" fontId="0" fillId="3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6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MaternaLink Pricing Calculator</t>
        </is>
      </c>
    </row>
    <row r="12">
      <c r="B12" s="2" t="inlineStr">
        <is>
          <t>Working calculators for UK services and programme deployments, plus the published price book. Yellow cells are inputs. Every price is an ESTIMATE until validated with three buyers per segment.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UK Calculator</t>
        </is>
      </c>
      <c r="C21" t="inlineStr">
        <is>
          <t>Trust or hospital pricing by module and service plan</t>
        </is>
      </c>
    </row>
    <row r="22">
      <c r="B22" s="5" t="inlineStr">
        <is>
          <t>Programme Calculator</t>
        </is>
      </c>
      <c r="C22" t="inlineStr">
        <is>
          <t>Per-woman tiered pricing for state and NGO programmes</t>
        </is>
      </c>
    </row>
    <row r="23">
      <c r="B23" s="5" t="inlineStr">
        <is>
          <t>Price Book</t>
        </is>
      </c>
      <c r="C23" t="inlineStr">
        <is>
          <t>Published ranges per product</t>
        </is>
      </c>
    </row>
    <row r="26">
      <c r="B26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0" customWidth="1" min="3" max="3"/>
  </cols>
  <sheetData>
    <row r="1">
      <c r="A1" s="7" t="inlineStr">
        <is>
          <t>MATERNALINK PRICING CALCULATOR — UK (all inputs are ESTIMATES to validate)</t>
        </is>
      </c>
      <c r="B1" t="inlineStr"/>
    </row>
    <row r="3">
      <c r="A3" s="8" t="inlineStr">
        <is>
          <t>Inputs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Annual births at the service</t>
        </is>
      </c>
      <c r="B4" s="9" t="n">
        <v>5000</v>
      </c>
      <c r="C4" t="inlineStr">
        <is>
          <t>Drives site-licence band</t>
        </is>
      </c>
    </row>
    <row r="5">
      <c r="A5" t="inlineStr">
        <is>
          <t>Women enrolled per year</t>
        </is>
      </c>
      <c r="B5" s="9" t="n">
        <v>5000</v>
      </c>
      <c r="C5" t="inlineStr">
        <is>
          <t>Usually equals births for Core</t>
        </is>
      </c>
    </row>
    <row r="6">
      <c r="A6" t="inlineStr">
        <is>
          <t>Core price per woman (£)</t>
        </is>
      </c>
      <c r="B6" s="9" t="n">
        <v>22</v>
      </c>
      <c r="C6" t="inlineStr">
        <is>
          <t>Range 18–36</t>
        </is>
      </c>
    </row>
    <row r="7">
      <c r="A7" t="inlineStr">
        <is>
          <t>Site licence (£)</t>
        </is>
      </c>
      <c r="B7" s="9" t="n">
        <v>20000</v>
      </c>
      <c r="C7" t="inlineStr">
        <is>
          <t>12k–30k by births band</t>
        </is>
      </c>
    </row>
    <row r="8">
      <c r="A8" t="inlineStr">
        <is>
          <t>Engagement module: enrolled women</t>
        </is>
      </c>
      <c r="B8" s="9" t="n">
        <v>5000</v>
      </c>
      <c r="C8" t="inlineStr"/>
    </row>
    <row r="9">
      <c r="A9" t="inlineStr">
        <is>
          <t>Engagement price per woman (£)</t>
        </is>
      </c>
      <c r="B9" s="9" t="n">
        <v>10</v>
      </c>
      <c r="C9" t="inlineStr">
        <is>
          <t>Range 8–14</t>
        </is>
      </c>
    </row>
    <row r="10">
      <c r="A10" t="inlineStr">
        <is>
          <t>Triage module sites</t>
        </is>
      </c>
      <c r="B10" s="9" t="n">
        <v>1</v>
      </c>
      <c r="C10" t="inlineStr"/>
    </row>
    <row r="11">
      <c r="A11" t="inlineStr">
        <is>
          <t>Triage price per site (£)</t>
        </is>
      </c>
      <c r="B11" s="9" t="n">
        <v>25000</v>
      </c>
      <c r="C11" t="inlineStr">
        <is>
          <t>15k–35k</t>
        </is>
      </c>
    </row>
    <row r="12">
      <c r="A12" t="inlineStr">
        <is>
          <t>Glucose module: women with condition</t>
        </is>
      </c>
      <c r="B12" s="9" t="n">
        <v>350</v>
      </c>
      <c r="C12" t="inlineStr">
        <is>
          <t>Typically 5–10% of cohort</t>
        </is>
      </c>
    </row>
    <row r="13">
      <c r="A13" t="inlineStr">
        <is>
          <t>Glucose price per woman (£)</t>
        </is>
      </c>
      <c r="B13" s="9" t="n">
        <v>25</v>
      </c>
      <c r="C13" t="inlineStr">
        <is>
          <t>20–30</t>
        </is>
      </c>
    </row>
    <row r="14">
      <c r="A14" t="inlineStr">
        <is>
          <t>Watch devices leased</t>
        </is>
      </c>
      <c r="B14" s="9" t="n">
        <v>0</v>
      </c>
      <c r="C14" t="inlineStr"/>
    </row>
    <row r="15">
      <c r="A15" t="inlineStr">
        <is>
          <t>Watch lease per device per month (£)</t>
        </is>
      </c>
      <c r="B15" s="9" t="n">
        <v>5.5</v>
      </c>
      <c r="C15" t="inlineStr">
        <is>
          <t>4–7</t>
        </is>
      </c>
    </row>
    <row r="16">
      <c r="A16" t="inlineStr">
        <is>
          <t>Analytics (£ per site)</t>
        </is>
      </c>
      <c r="B16" s="9" t="n">
        <v>8000</v>
      </c>
      <c r="C16" t="inlineStr">
        <is>
          <t>6k–12k</t>
        </is>
      </c>
    </row>
    <row r="17">
      <c r="A17" t="inlineStr">
        <is>
          <t>Integration interfaces (count)</t>
        </is>
      </c>
      <c r="B17" s="9" t="n">
        <v>1</v>
      </c>
      <c r="C17" t="inlineStr"/>
    </row>
    <row r="18">
      <c r="A18" t="inlineStr">
        <is>
          <t>Integration setup per interface (£)</t>
        </is>
      </c>
      <c r="B18" s="9" t="n">
        <v>25000</v>
      </c>
      <c r="C18" t="inlineStr">
        <is>
          <t>15k–40k</t>
        </is>
      </c>
    </row>
    <row r="19">
      <c r="A19" t="inlineStr">
        <is>
          <t>Integration annual per interface (£)</t>
        </is>
      </c>
      <c r="B19" s="9" t="n">
        <v>6000</v>
      </c>
      <c r="C19" t="inlineStr">
        <is>
          <t>4k–8k</t>
        </is>
      </c>
    </row>
    <row r="20">
      <c r="A20" t="inlineStr">
        <is>
          <t>Implementation one-off (£)</t>
        </is>
      </c>
      <c r="B20" s="9" t="n">
        <v>45000</v>
      </c>
      <c r="C20" t="inlineStr">
        <is>
          <t>25k–75k</t>
        </is>
      </c>
    </row>
    <row r="21">
      <c r="A21" t="inlineStr">
        <is>
          <t>Service plan % (Standard 0.20 / Enhanced 0.26 / Premium 0.32)</t>
        </is>
      </c>
      <c r="B21" s="10" t="n">
        <v>0.26</v>
      </c>
      <c r="C21" t="inlineStr"/>
    </row>
    <row r="23">
      <c r="A23" s="8" t="inlineStr">
        <is>
          <t>Outputs</t>
        </is>
      </c>
      <c r="B23" s="8" t="inlineStr">
        <is>
          <t>£</t>
        </is>
      </c>
      <c r="C23" s="8" t="inlineStr"/>
    </row>
    <row r="24">
      <c r="A24" t="inlineStr">
        <is>
          <t>Core software</t>
        </is>
      </c>
      <c r="B24" s="11">
        <f>B4*0+B5*B6+B7</f>
        <v/>
      </c>
      <c r="C24" t="inlineStr"/>
    </row>
    <row r="25">
      <c r="A25" t="inlineStr">
        <is>
          <t>Engagement</t>
        </is>
      </c>
      <c r="B25" s="11">
        <f>B8*B9</f>
        <v/>
      </c>
      <c r="C25" t="inlineStr"/>
    </row>
    <row r="26">
      <c r="A26" t="inlineStr">
        <is>
          <t>Triage</t>
        </is>
      </c>
      <c r="B26" s="11">
        <f>B10*B11</f>
        <v/>
      </c>
      <c r="C26" t="inlineStr"/>
    </row>
    <row r="27">
      <c r="A27" t="inlineStr">
        <is>
          <t>Glucose</t>
        </is>
      </c>
      <c r="B27" s="11">
        <f>B12*B13</f>
        <v/>
      </c>
      <c r="C27" t="inlineStr"/>
    </row>
    <row r="28">
      <c r="A28" t="inlineStr">
        <is>
          <t>Analytics</t>
        </is>
      </c>
      <c r="B28" s="11">
        <f>B16</f>
        <v/>
      </c>
      <c r="C28" t="inlineStr"/>
    </row>
    <row r="29">
      <c r="A29" t="inlineStr">
        <is>
          <t>Software subtotal (annual)</t>
        </is>
      </c>
      <c r="B29" s="11">
        <f>SUM(B24:B28)</f>
        <v/>
      </c>
      <c r="C29" t="inlineStr"/>
    </row>
    <row r="30">
      <c r="A30" t="inlineStr">
        <is>
          <t>Annual service plan</t>
        </is>
      </c>
      <c r="B30" s="11">
        <f>B29*B21</f>
        <v/>
      </c>
      <c r="C30" t="inlineStr"/>
    </row>
    <row r="31">
      <c r="A31" t="inlineStr">
        <is>
          <t>Watch lease (annual)</t>
        </is>
      </c>
      <c r="B31" s="11">
        <f>B14*B15*12</f>
        <v/>
      </c>
      <c r="C31" t="inlineStr"/>
    </row>
    <row r="32">
      <c r="A32" t="inlineStr">
        <is>
          <t>Integration annual</t>
        </is>
      </c>
      <c r="B32" s="11">
        <f>B17*B19</f>
        <v/>
      </c>
      <c r="C32" t="inlineStr"/>
    </row>
    <row r="33">
      <c r="A33" t="inlineStr">
        <is>
          <t>Recurring annual total</t>
        </is>
      </c>
      <c r="B33" s="11">
        <f>B29+B30+B31+B32</f>
        <v/>
      </c>
      <c r="C33" t="inlineStr"/>
    </row>
    <row r="34">
      <c r="A34" t="inlineStr">
        <is>
          <t>One-off: integration setup + implementation</t>
        </is>
      </c>
      <c r="B34" s="11">
        <f>B17*B18+B20</f>
        <v/>
      </c>
      <c r="C34" t="inlineStr"/>
    </row>
    <row r="35">
      <c r="A35" s="3" t="inlineStr">
        <is>
          <t>YEAR 1 TOTAL</t>
        </is>
      </c>
      <c r="B35" s="12">
        <f>B33+B34</f>
        <v/>
      </c>
      <c r="C35" t="inlineStr"/>
    </row>
    <row r="36">
      <c r="A36" s="3" t="inlineStr">
        <is>
          <t>YEAR 2+ RUN-RATE</t>
        </is>
      </c>
      <c r="B36" s="12">
        <f>B33</f>
        <v/>
      </c>
      <c r="C36" t="inlineStr"/>
    </row>
    <row r="37">
      <c r="A37" s="3" t="inlineStr">
        <is>
          <t>Recurring cost per enrolled woman (£)</t>
        </is>
      </c>
      <c r="B37" s="13">
        <f>IF(B5&gt;0,B33/B5,0)</f>
        <v/>
      </c>
      <c r="C3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0" customWidth="1" min="3" max="3"/>
  </cols>
  <sheetData>
    <row r="1">
      <c r="A1" s="7" t="inlineStr">
        <is>
          <t>MATERNALINK PRICING CALCULATOR — PROGRAMME (Africa / donor-funded)</t>
        </is>
      </c>
      <c r="B1" t="inlineStr"/>
    </row>
    <row r="3">
      <c r="A3" s="8" t="inlineStr">
        <is>
          <t>Inputs</t>
        </is>
      </c>
      <c r="B3" s="8" t="inlineStr">
        <is>
          <t>Value</t>
        </is>
      </c>
      <c r="C3" s="8" t="inlineStr">
        <is>
          <t>Notes</t>
        </is>
      </c>
    </row>
    <row r="4">
      <c r="A4" t="inlineStr">
        <is>
          <t>Women enrolled</t>
        </is>
      </c>
      <c r="B4" s="9" t="n">
        <v>15000</v>
      </c>
      <c r="C4" t="inlineStr"/>
    </row>
    <row r="5">
      <c r="A5" t="inlineStr">
        <is>
          <t>Core price per woman (£) — tiered: 10 / 7 / 5 / 4</t>
        </is>
      </c>
      <c r="B5" s="14">
        <f>IF(B4&lt;=5000,10,IF(B4&lt;=25000,7,IF(B4&lt;=100000,5,4)))</f>
        <v/>
      </c>
      <c r="C5" t="inlineStr">
        <is>
          <t>Formula applies the published tiers</t>
        </is>
      </c>
    </row>
    <row r="6">
      <c r="A6" t="inlineStr">
        <is>
          <t>Engagement price per woman (£)</t>
        </is>
      </c>
      <c r="B6" s="9" t="n">
        <v>4</v>
      </c>
      <c r="C6" t="inlineStr">
        <is>
          <t>3–5</t>
        </is>
      </c>
    </row>
    <row r="7">
      <c r="A7" t="inlineStr">
        <is>
          <t>Facilities with triage</t>
        </is>
      </c>
      <c r="B7" s="9" t="n">
        <v>20</v>
      </c>
      <c r="C7" t="inlineStr"/>
    </row>
    <row r="8">
      <c r="A8" t="inlineStr">
        <is>
          <t>Triage per facility (£)</t>
        </is>
      </c>
      <c r="B8" s="9" t="n">
        <v>2500</v>
      </c>
      <c r="C8" t="inlineStr">
        <is>
          <t>1.5k–4k</t>
        </is>
      </c>
    </row>
    <row r="9">
      <c r="A9" t="inlineStr">
        <is>
          <t>Training cohorts</t>
        </is>
      </c>
      <c r="B9" s="9" t="n">
        <v>10</v>
      </c>
      <c r="C9" t="inlineStr"/>
    </row>
    <row r="10">
      <c r="A10" t="inlineStr">
        <is>
          <t>Training per cohort (£)</t>
        </is>
      </c>
      <c r="B10" s="9" t="n">
        <v>1800</v>
      </c>
      <c r="C10" t="inlineStr">
        <is>
          <t>1.2k–2.5k</t>
        </is>
      </c>
    </row>
    <row r="11">
      <c r="A11" t="inlineStr">
        <is>
          <t>Implementation one-off (£)</t>
        </is>
      </c>
      <c r="B11" s="9" t="n">
        <v>80000</v>
      </c>
      <c r="C11" t="inlineStr">
        <is>
          <t>40k–120k</t>
        </is>
      </c>
    </row>
    <row r="12">
      <c r="A12" t="inlineStr">
        <is>
          <t>Service plan % (0.20 / 0.28 / 0.35)</t>
        </is>
      </c>
      <c r="B12" s="10" t="n">
        <v>0.28</v>
      </c>
      <c r="C12" t="inlineStr"/>
    </row>
    <row r="14">
      <c r="A14" s="8" t="inlineStr">
        <is>
          <t>Outputs</t>
        </is>
      </c>
      <c r="B14" s="8" t="inlineStr">
        <is>
          <t>£</t>
        </is>
      </c>
      <c r="C14" s="8" t="inlineStr"/>
    </row>
    <row r="15">
      <c r="A15" t="inlineStr">
        <is>
          <t>Core</t>
        </is>
      </c>
      <c r="B15" s="11">
        <f>B4*B5</f>
        <v/>
      </c>
      <c r="C15" t="inlineStr"/>
    </row>
    <row r="16">
      <c r="A16" t="inlineStr">
        <is>
          <t>Engagement</t>
        </is>
      </c>
      <c r="B16" s="11">
        <f>B4*B6</f>
        <v/>
      </c>
      <c r="C16" t="inlineStr"/>
    </row>
    <row r="17">
      <c r="A17" t="inlineStr">
        <is>
          <t>Triage</t>
        </is>
      </c>
      <c r="B17" s="11">
        <f>B7*B8</f>
        <v/>
      </c>
      <c r="C17" t="inlineStr"/>
    </row>
    <row r="18">
      <c r="A18" t="inlineStr">
        <is>
          <t>Software subtotal</t>
        </is>
      </c>
      <c r="B18" s="11">
        <f>SUM(B15:B17)</f>
        <v/>
      </c>
      <c r="C18" t="inlineStr"/>
    </row>
    <row r="19">
      <c r="A19" t="inlineStr">
        <is>
          <t>Service plan</t>
        </is>
      </c>
      <c r="B19" s="11">
        <f>MAX(B18*B12,12000)</f>
        <v/>
      </c>
      <c r="C19" t="inlineStr">
        <is>
          <t>Minimum £12,000</t>
        </is>
      </c>
    </row>
    <row r="20">
      <c r="A20" t="inlineStr">
        <is>
          <t>Training</t>
        </is>
      </c>
      <c r="B20" s="11">
        <f>B9*B10</f>
        <v/>
      </c>
      <c r="C20" t="inlineStr"/>
    </row>
    <row r="21">
      <c r="A21" s="3" t="inlineStr">
        <is>
          <t>YEAR 1 TOTAL</t>
        </is>
      </c>
      <c r="B21" s="12">
        <f>B18+B19+B20+B11</f>
        <v/>
      </c>
      <c r="C21" t="inlineStr"/>
    </row>
    <row r="22">
      <c r="A22" s="3" t="inlineStr">
        <is>
          <t>YEAR 2+ RUN-RATE</t>
        </is>
      </c>
      <c r="B22" s="12">
        <f>B18+B19</f>
        <v/>
      </c>
      <c r="C22" t="inlineStr"/>
    </row>
    <row r="23">
      <c r="A23" t="inlineStr">
        <is>
          <t>Year-1 cost per woman (£)</t>
        </is>
      </c>
      <c r="B23" s="15">
        <f>IF(B4&gt;0,B21/B4,0)</f>
        <v/>
      </c>
      <c r="C23" t="inlineStr"/>
    </row>
    <row r="24">
      <c r="A24" t="inlineStr">
        <is>
          <t>Run-rate cost per woman (£)</t>
        </is>
      </c>
      <c r="B24" s="15">
        <f>IF(B4&gt;0,B22/B4,0)</f>
        <v/>
      </c>
      <c r="C2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24" customWidth="1" min="4" max="4"/>
    <col width="30" customWidth="1" min="5" max="5"/>
  </cols>
  <sheetData>
    <row r="1">
      <c r="A1" s="8" t="inlineStr">
        <is>
          <t>Product</t>
        </is>
      </c>
      <c r="B1" s="8" t="inlineStr">
        <is>
          <t>UK model</t>
        </is>
      </c>
      <c r="C1" s="8" t="inlineStr">
        <is>
          <t>UK indicative</t>
        </is>
      </c>
      <c r="D1" s="8" t="inlineStr">
        <is>
          <t>Programme model</t>
        </is>
      </c>
      <c r="E1" s="8" t="inlineStr">
        <is>
          <t>Programme indicative</t>
        </is>
      </c>
    </row>
    <row r="2">
      <c r="A2" t="inlineStr">
        <is>
          <t>Core platform</t>
        </is>
      </c>
      <c r="B2" t="inlineStr">
        <is>
          <t>Site licence + per woman/yr</t>
        </is>
      </c>
      <c r="C2" t="inlineStr">
        <is>
          <t>£12k–£30k + £18–£36</t>
        </is>
      </c>
      <c r="D2" t="inlineStr">
        <is>
          <t>Per woman/yr tiered</t>
        </is>
      </c>
      <c r="E2" t="inlineStr">
        <is>
          <t>£10 / £7 / £5 / £4</t>
        </is>
      </c>
    </row>
    <row r="3">
      <c r="A3" t="inlineStr">
        <is>
          <t>Engagement module</t>
        </is>
      </c>
      <c r="B3" t="inlineStr">
        <is>
          <t>Per woman/yr</t>
        </is>
      </c>
      <c r="C3" t="inlineStr">
        <is>
          <t>£8–£14</t>
        </is>
      </c>
      <c r="D3" t="inlineStr">
        <is>
          <t>Per woman/yr</t>
        </is>
      </c>
      <c r="E3" t="inlineStr">
        <is>
          <t>£3–£5</t>
        </is>
      </c>
    </row>
    <row r="4">
      <c r="A4" t="inlineStr">
        <is>
          <t>Maternity triage</t>
        </is>
      </c>
      <c r="B4" t="inlineStr">
        <is>
          <t>Per site/yr</t>
        </is>
      </c>
      <c r="C4" t="inlineStr">
        <is>
          <t>£15k–£35k</t>
        </is>
      </c>
      <c r="D4" t="inlineStr">
        <is>
          <t>Per facility/yr</t>
        </is>
      </c>
      <c r="E4" t="inlineStr">
        <is>
          <t>£1.5k–£4k</t>
        </is>
      </c>
    </row>
    <row r="5">
      <c r="A5" t="inlineStr">
        <is>
          <t>Diabetes glucose diary</t>
        </is>
      </c>
      <c r="B5" t="inlineStr">
        <is>
          <t>Per woman with condition/yr</t>
        </is>
      </c>
      <c r="C5" t="inlineStr">
        <is>
          <t>£20–£30</t>
        </is>
      </c>
      <c r="D5" t="inlineStr">
        <is>
          <t>Per woman</t>
        </is>
      </c>
      <c r="E5" t="inlineStr">
        <is>
          <t>£6–£10</t>
        </is>
      </c>
    </row>
    <row r="6">
      <c r="A6" t="inlineStr">
        <is>
          <t>Voice diaries</t>
        </is>
      </c>
      <c r="B6" t="inlineStr">
        <is>
          <t>Per woman/yr</t>
        </is>
      </c>
      <c r="C6" t="inlineStr">
        <is>
          <t>£3–£5</t>
        </is>
      </c>
      <c r="D6" t="inlineStr">
        <is>
          <t>Per woman</t>
        </is>
      </c>
      <c r="E6" t="inlineStr">
        <is>
          <t>£1–£2</t>
        </is>
      </c>
    </row>
    <row r="7">
      <c r="A7" t="inlineStr">
        <is>
          <t>Maternity Watch (certified third-party device)</t>
        </is>
      </c>
      <c r="B7" t="inlineStr">
        <is>
          <t>Lease per device/month</t>
        </is>
      </c>
      <c r="C7" t="inlineStr">
        <is>
          <t>£4–£7 (or £120–£220 + £30/yr)</t>
        </is>
      </c>
      <c r="D7" t="inlineStr">
        <is>
          <t>Lease per device/month</t>
        </is>
      </c>
      <c r="E7" t="inlineStr">
        <is>
          <t>£2–£4 (or £90–£160 + £15/yr)</t>
        </is>
      </c>
    </row>
    <row r="8">
      <c r="A8" t="inlineStr">
        <is>
          <t>Integration pack</t>
        </is>
      </c>
      <c r="B8" t="inlineStr">
        <is>
          <t>Setup + annual per interface</t>
        </is>
      </c>
      <c r="C8" t="inlineStr">
        <is>
          <t>£15k–£40k + £4k–£8k</t>
        </is>
      </c>
      <c r="D8" t="inlineStr">
        <is>
          <t>Setup + annual</t>
        </is>
      </c>
      <c r="E8" t="inlineStr">
        <is>
          <t>£8k–£25k + £3k</t>
        </is>
      </c>
    </row>
    <row r="9">
      <c r="A9" t="inlineStr">
        <is>
          <t>Analytics</t>
        </is>
      </c>
      <c r="B9" t="inlineStr">
        <is>
          <t>Per site/yr</t>
        </is>
      </c>
      <c r="C9" t="inlineStr">
        <is>
          <t>£6k–£12k</t>
        </is>
      </c>
      <c r="D9" t="inlineStr">
        <is>
          <t>Included in programme</t>
        </is>
      </c>
      <c r="E9" t="inlineStr">
        <is>
          <t>—</t>
        </is>
      </c>
    </row>
    <row r="10">
      <c r="A10" t="inlineStr">
        <is>
          <t>Training</t>
        </is>
      </c>
      <c r="B10" t="inlineStr">
        <is>
          <t>Per cohort of 25</t>
        </is>
      </c>
      <c r="C10" t="inlineStr">
        <is>
          <t>£2.5k–£4.5k</t>
        </is>
      </c>
      <c r="D10" t="inlineStr">
        <is>
          <t>Per cohort of 30</t>
        </is>
      </c>
      <c r="E10" t="inlineStr">
        <is>
          <t>£1.2k–£2.5k</t>
        </is>
      </c>
    </row>
    <row r="11">
      <c r="A11" t="inlineStr">
        <is>
          <t>Implementation</t>
        </is>
      </c>
      <c r="B11" t="inlineStr">
        <is>
          <t>One-off per site</t>
        </is>
      </c>
      <c r="C11" t="inlineStr">
        <is>
          <t>£25k–£75k</t>
        </is>
      </c>
      <c r="D11" t="inlineStr">
        <is>
          <t>One-off per programme</t>
        </is>
      </c>
      <c r="E11" t="inlineStr">
        <is>
          <t>£40k–£120k</t>
        </is>
      </c>
    </row>
    <row r="12">
      <c r="A12" t="inlineStr">
        <is>
          <t>Pilot (12 weeks)</t>
        </is>
      </c>
      <c r="B12" t="inlineStr">
        <is>
          <t>Fixed</t>
        </is>
      </c>
      <c r="C12" t="inlineStr">
        <is>
          <t>£40k–£90k</t>
        </is>
      </c>
      <c r="D12" t="inlineStr">
        <is>
          <t>Scoped</t>
        </is>
      </c>
      <c r="E12" t="inlineStr">
        <is>
          <t>On scope</t>
        </is>
      </c>
    </row>
    <row r="13">
      <c r="A13" t="inlineStr">
        <is>
          <t>Service plans</t>
        </is>
      </c>
      <c r="B13" t="inlineStr">
        <is>
          <t>% of licence</t>
        </is>
      </c>
      <c r="C13" t="inlineStr">
        <is>
          <t>Std 18–22% · Enh 25–28% · Prem 30–35% (min £8k)</t>
        </is>
      </c>
      <c r="D13" t="inlineStr">
        <is>
          <t>% of software</t>
        </is>
      </c>
      <c r="E13" t="inlineStr">
        <is>
          <t>20% · 28% · 35% (min £12k)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2026-09-08T14:23:06Z</dcterms:created>
  <dcterms:modified xmlns:dcterms="http://purl.org/dc/terms/" xmlns:xsi="http://www.w3.org/2001/XMLSchema-instance" xsi:type="dcterms:W3CDTF">2026-09-08T14:23:06Z</dcterms:modified>
</cp:coreProperties>
</file>