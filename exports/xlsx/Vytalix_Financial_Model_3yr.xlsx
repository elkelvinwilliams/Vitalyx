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drawings/drawing2.xml" ContentType="application/vnd.openxmlformats-officedocument.drawing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README" sheetId="2" state="visible" r:id="rId2"/>
    <sheet xmlns:r="http://schemas.openxmlformats.org/officeDocument/2006/relationships" name="Assumptions" sheetId="3" state="visible" r:id="rId3"/>
    <sheet xmlns:r="http://schemas.openxmlformats.org/officeDocument/2006/relationships" name="Revenue build" sheetId="4" state="visible" r:id="rId4"/>
    <sheet xmlns:r="http://schemas.openxmlformats.org/officeDocument/2006/relationships" name="Cost of sales" sheetId="5" state="visible" r:id="rId5"/>
    <sheet xmlns:r="http://schemas.openxmlformats.org/officeDocument/2006/relationships" name="Opex" sheetId="6" state="visible" r:id="rId6"/>
    <sheet xmlns:r="http://schemas.openxmlformats.org/officeDocument/2006/relationships" name="Headcount" sheetId="7" state="visible" r:id="rId7"/>
    <sheet xmlns:r="http://schemas.openxmlformats.org/officeDocument/2006/relationships" name="P&amp;L" sheetId="8" state="visible" r:id="rId8"/>
    <sheet xmlns:r="http://schemas.openxmlformats.org/officeDocument/2006/relationships" name="Cash flow" sheetId="9" state="visible" r:id="rId9"/>
    <sheet xmlns:r="http://schemas.openxmlformats.org/officeDocument/2006/relationships" name="Funding requirement" sheetId="10" state="visible" r:id="rId10"/>
    <sheet xmlns:r="http://schemas.openxmlformats.org/officeDocument/2006/relationships" name="Dashboard" sheetId="11" state="visible" r:id="rId11"/>
    <sheet xmlns:r="http://schemas.openxmlformats.org/officeDocument/2006/relationships" name="Sensitivity" sheetId="12" state="visible" r:id="rId12"/>
    <sheet xmlns:r="http://schemas.openxmlformats.org/officeDocument/2006/relationships" name="Static summary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#,##0;[Red]-#,##0"/>
    <numFmt numFmtId="165" formatCode="0.##"/>
    <numFmt numFmtId="166" formatCode="0.0%"/>
    <numFmt numFmtId="167" formatCode="#,##0.00;[Red]-#,##0.00"/>
    <numFmt numFmtId="168" formatCode="0.0"/>
  </numFmts>
  <fonts count="14">
    <font>
      <name val="Calibri"/>
      <family val="2"/>
      <color theme="1"/>
      <sz val="11"/>
      <scheme val="minor"/>
    </font>
    <font>
      <b val="1"/>
      <sz val="14"/>
    </font>
    <font>
      <i val="1"/>
      <color rgb="00666666"/>
      <sz val="9"/>
    </font>
    <font>
      <b val="1"/>
      <sz val="11"/>
    </font>
    <font>
      <b val="1"/>
      <color rgb="000000CC"/>
      <sz val="12"/>
    </font>
    <font>
      <b val="1"/>
    </font>
    <font>
      <color rgb="000000CC"/>
    </font>
    <font/>
    <font>
      <b val="1"/>
      <color rgb="00153892"/>
      <sz val="24"/>
    </font>
    <font>
      <color rgb="004B5568"/>
      <sz val="11"/>
    </font>
    <font>
      <b val="1"/>
      <color rgb="00153892"/>
    </font>
    <font>
      <b val="1"/>
      <color rgb="00153892"/>
      <sz val="12"/>
    </font>
    <font>
      <i val="1"/>
      <color rgb="004B5568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FCE4D6"/>
      </patternFill>
    </fill>
    <fill>
      <patternFill patternType="solid">
        <fgColor rgb="00DDEBF7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153892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41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2" fillId="0" borderId="0" pivotButton="0" quotePrefix="0" xfId="0"/>
    <xf numFmtId="0" fontId="3" fillId="0" borderId="0" pivotButton="0" quotePrefix="0" xfId="0"/>
    <xf numFmtId="0" fontId="4" fillId="2" borderId="1" pivotButton="0" quotePrefix="0" xfId="0"/>
    <xf numFmtId="0" fontId="5" fillId="0" borderId="0" pivotButton="0" quotePrefix="0" xfId="0"/>
    <xf numFmtId="0" fontId="5" fillId="3" borderId="1" pivotButton="0" quotePrefix="0" xfId="0"/>
    <xf numFmtId="0" fontId="3" fillId="3" borderId="0" pivotButton="0" quotePrefix="0" xfId="0"/>
    <xf numFmtId="0" fontId="0" fillId="3" borderId="0" pivotButton="0" quotePrefix="0" xfId="0"/>
    <xf numFmtId="164" fontId="6" fillId="4" borderId="1" pivotButton="0" quotePrefix="0" xfId="0"/>
    <xf numFmtId="164" fontId="5" fillId="5" borderId="1" pivotButton="0" quotePrefix="0" xfId="0"/>
    <xf numFmtId="165" fontId="6" fillId="4" borderId="1" pivotButton="0" quotePrefix="0" xfId="0"/>
    <xf numFmtId="165" fontId="5" fillId="5" borderId="1" pivotButton="0" quotePrefix="0" xfId="0"/>
    <xf numFmtId="166" fontId="6" fillId="4" borderId="1" pivotButton="0" quotePrefix="0" xfId="0"/>
    <xf numFmtId="166" fontId="5" fillId="5" borderId="1" pivotButton="0" quotePrefix="0" xfId="0"/>
    <xf numFmtId="167" fontId="6" fillId="4" borderId="1" pivotButton="0" quotePrefix="0" xfId="0"/>
    <xf numFmtId="167" fontId="5" fillId="5" borderId="1" pivotButton="0" quotePrefix="0" xfId="0"/>
    <xf numFmtId="164" fontId="0" fillId="0" borderId="0" pivotButton="0" quotePrefix="0" xfId="0"/>
    <xf numFmtId="0" fontId="5" fillId="3" borderId="0" pivotButton="0" quotePrefix="0" xfId="0"/>
    <xf numFmtId="17" fontId="5" fillId="3" borderId="0" pivotButton="0" quotePrefix="0" xfId="0"/>
    <xf numFmtId="0" fontId="7" fillId="0" borderId="0" pivotButton="0" quotePrefix="0" xfId="0"/>
    <xf numFmtId="2" fontId="0" fillId="0" borderId="0" pivotButton="0" quotePrefix="0" xfId="0"/>
    <xf numFmtId="168" fontId="0" fillId="0" borderId="0" pivotButton="0" quotePrefix="0" xfId="0"/>
    <xf numFmtId="166" fontId="0" fillId="0" borderId="0" pivotButton="0" quotePrefix="0" xfId="0"/>
    <xf numFmtId="164" fontId="5" fillId="5" borderId="0" pivotButton="0" quotePrefix="0" xfId="0"/>
    <xf numFmtId="1" fontId="0" fillId="0" borderId="0" pivotButton="0" quotePrefix="0" xfId="0"/>
    <xf numFmtId="3" fontId="0" fillId="0" borderId="0" pivotButton="0" quotePrefix="0" xfId="0"/>
    <xf numFmtId="1" fontId="5" fillId="5" borderId="0" pivotButton="0" quotePrefix="0" xfId="0"/>
    <xf numFmtId="164" fontId="5" fillId="0" borderId="0" pivotButton="0" quotePrefix="0" xfId="0"/>
    <xf numFmtId="1" fontId="5" fillId="0" borderId="0" pivotButton="0" quotePrefix="0" xfId="0"/>
    <xf numFmtId="168" fontId="5" fillId="0" borderId="0" pivotButton="0" quotePrefix="0" xfId="0"/>
    <xf numFmtId="0" fontId="8" fillId="0" borderId="0" pivotButton="0" quotePrefix="0" xfId="0"/>
    <xf numFmtId="0" fontId="9" fillId="0" borderId="0" applyAlignment="1" pivotButton="0" quotePrefix="0" xfId="0">
      <alignment vertical="top" wrapText="1"/>
    </xf>
    <xf numFmtId="0" fontId="10" fillId="0" borderId="0" pivotButton="0" quotePrefix="0" xfId="0"/>
    <xf numFmtId="0" fontId="11" fillId="0" borderId="0" pivotButton="0" quotePrefix="0" xfId="0"/>
    <xf numFmtId="0" fontId="12" fillId="0" borderId="0" pivotButton="0" quotePrefix="0" xfId="0"/>
    <xf numFmtId="0" fontId="13" fillId="6" borderId="0" applyAlignment="1" pivotButton="0" quotePrefix="0" xfId="0">
      <alignment vertical="top" wrapText="1"/>
    </xf>
    <xf numFmtId="168" fontId="0" fillId="0" borderId="0" pivotButton="0" quotePrefix="0" xfId="0"/>
    <xf numFmtId="168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 revenue and EBITDA (active scenario)</a:t>
            </a:r>
          </a:p>
        </rich>
      </tx>
    </title>
    <plotArea>
      <lineChart>
        <grouping val="standard"/>
        <ser>
          <idx val="0"/>
          <order val="0"/>
          <tx>
            <strRef>
              <f>'P&amp;L'!A12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'P&amp;L'!$C$4:$AL$4</f>
            </numRef>
          </cat>
          <val>
            <numRef>
              <f>'P&amp;L'!$B$12:$AL$12</f>
            </numRef>
          </val>
        </ser>
        <ser>
          <idx val="1"/>
          <order val="1"/>
          <tx>
            <strRef>
              <f>'P&amp;L'!A32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'P&amp;L'!$C$4:$AL$4</f>
            </numRef>
          </cat>
          <val>
            <numRef>
              <f>'P&amp;L'!$B$32:$AL$32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GBP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Closing cash (active scenario)</a:t>
            </a:r>
          </a:p>
        </rich>
      </tx>
    </title>
    <plotArea>
      <lineChart>
        <grouping val="standard"/>
        <ser>
          <idx val="0"/>
          <order val="0"/>
          <tx>
            <strRef>
              <f>'Cash flow'!A25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'Cash flow'!$C$4:$AL$4</f>
            </numRef>
          </cat>
          <val>
            <numRef>
              <f>'Cash flow'!$B$25:$AL$25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GBP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Annual revenue by pillar (active scenario)</a:t>
            </a:r>
          </a:p>
        </rich>
      </tx>
    </title>
    <plotArea>
      <barChart>
        <barDir val="col"/>
        <grouping val="stacked"/>
        <ser>
          <idx val="0"/>
          <order val="0"/>
          <tx>
            <strRef>
              <f>'Dashboard'!A5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'Dashboard'!$B$4:$D$4</f>
            </numRef>
          </cat>
          <val>
            <numRef>
              <f>'Dashboard'!$B$5:$D$5</f>
            </numRef>
          </val>
        </ser>
        <ser>
          <idx val="1"/>
          <order val="1"/>
          <tx>
            <strRef>
              <f>'Dashboard'!A6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'Dashboard'!$B$4:$D$4</f>
            </numRef>
          </cat>
          <val>
            <numRef>
              <f>'Dashboard'!$B$6:$D$6</f>
            </numRef>
          </val>
        </ser>
        <ser>
          <idx val="2"/>
          <order val="2"/>
          <tx>
            <strRef>
              <f>'Dashboard'!A7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'Dashboard'!$B$4:$D$4</f>
            </numRef>
          </cat>
          <val>
            <numRef>
              <f>'Dashboard'!$B$7:$D$7</f>
            </numRef>
          </val>
        </ser>
        <ser>
          <idx val="3"/>
          <order val="3"/>
          <tx>
            <strRef>
              <f>'Dashboard'!A8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'Dashboard'!$B$4:$D$4</f>
            </numRef>
          </cat>
          <val>
            <numRef>
              <f>'Dashboard'!$B$8:$D$8</f>
            </numRef>
          </val>
        </ser>
        <gapWidth val="150"/>
        <overlap val="10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2857500" cy="11239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6</col>
      <colOff>0</colOff>
      <row>3</row>
      <rowOff>0</rowOff>
    </from>
    <ext cx="864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6</col>
      <colOff>0</colOff>
      <row>21</row>
      <rowOff>0</rowOff>
    </from>
    <ext cx="864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29</row>
      <rowOff>0</rowOff>
    </from>
    <ext cx="5040000" cy="288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10:H35"/>
  <sheetViews>
    <sheetView showGridLines="0" workbookViewId="0">
      <selection activeCell="A1" sqref="A1"/>
    </sheetView>
  </sheetViews>
  <sheetFormatPr baseColWidth="8" defaultRowHeight="15"/>
  <cols>
    <col width="18" customWidth="1" min="2" max="2"/>
    <col width="70" customWidth="1" min="3" max="3"/>
  </cols>
  <sheetData>
    <row r="10">
      <c r="B10" s="33" t="inlineStr">
        <is>
          <t>Financial Model (36 months)</t>
        </is>
      </c>
    </row>
    <row r="12">
      <c r="B12" s="34" t="inlineStr">
        <is>
          <t>Three scenarios (Conservative, Base, High-growth) driven from one assumptions sheet. Change the scenario selector on the Assumptions sheet. Nothing here is an actual; all figures are scenario outputs.</t>
        </is>
      </c>
    </row>
    <row r="13"/>
    <row r="14"/>
    <row r="16">
      <c r="B16" s="35" t="inlineStr">
        <is>
          <t>Prepared for</t>
        </is>
      </c>
      <c r="C16" t="inlineStr">
        <is>
          <t>The Founder, Vytalix</t>
        </is>
      </c>
    </row>
    <row r="17">
      <c r="B17" s="35" t="inlineStr">
        <is>
          <t>Date</t>
        </is>
      </c>
      <c r="C17" t="inlineStr">
        <is>
          <t>8 September 2026</t>
        </is>
      </c>
    </row>
    <row r="18">
      <c r="B18" s="35" t="inlineStr">
        <is>
          <t>Version</t>
        </is>
      </c>
      <c r="C18" t="inlineStr">
        <is>
          <t>1.0 · Confidential draft</t>
        </is>
      </c>
    </row>
    <row r="20">
      <c r="B20" s="36" t="inlineStr">
        <is>
          <t>Contents</t>
        </is>
      </c>
    </row>
    <row r="21">
      <c r="B21" s="7" t="inlineStr">
        <is>
          <t>README</t>
        </is>
      </c>
      <c r="C21" t="inlineStr"/>
    </row>
    <row r="22">
      <c r="B22" s="7" t="inlineStr">
        <is>
          <t>Assumptions</t>
        </is>
      </c>
      <c r="C22" t="inlineStr"/>
    </row>
    <row r="23">
      <c r="B23" s="7" t="inlineStr">
        <is>
          <t>Revenue build</t>
        </is>
      </c>
      <c r="C23" t="inlineStr"/>
    </row>
    <row r="24">
      <c r="B24" s="7" t="inlineStr">
        <is>
          <t>Cost of sales</t>
        </is>
      </c>
      <c r="C24" t="inlineStr"/>
    </row>
    <row r="25">
      <c r="B25" s="7" t="inlineStr">
        <is>
          <t>Opex</t>
        </is>
      </c>
      <c r="C25" t="inlineStr"/>
    </row>
    <row r="26">
      <c r="B26" s="7" t="inlineStr">
        <is>
          <t>Headcount</t>
        </is>
      </c>
      <c r="C26" t="inlineStr"/>
    </row>
    <row r="27">
      <c r="B27" s="7" t="inlineStr">
        <is>
          <t>P&amp;L</t>
        </is>
      </c>
      <c r="C27" t="inlineStr"/>
    </row>
    <row r="28">
      <c r="B28" s="7" t="inlineStr">
        <is>
          <t>Cash flow</t>
        </is>
      </c>
      <c r="C28" t="inlineStr"/>
    </row>
    <row r="29">
      <c r="B29" s="7" t="inlineStr">
        <is>
          <t>Funding requirement</t>
        </is>
      </c>
      <c r="C29" t="inlineStr"/>
    </row>
    <row r="30">
      <c r="B30" s="7" t="inlineStr">
        <is>
          <t>Dashboard</t>
        </is>
      </c>
      <c r="C30" t="inlineStr"/>
    </row>
    <row r="31">
      <c r="B31" s="7" t="inlineStr">
        <is>
          <t>Sensitivity</t>
        </is>
      </c>
      <c r="C31" t="inlineStr"/>
    </row>
    <row r="32">
      <c r="B32" s="7" t="inlineStr">
        <is>
          <t>Static summary</t>
        </is>
      </c>
      <c r="C32" t="inlineStr"/>
    </row>
    <row r="35">
      <c r="B35" s="37" t="inlineStr">
        <is>
          <t>Colour code: yellow cells are inputs you can change; blue headers are fixed; every figure is an ESTIMATE unless labelled VERIFIED (see FACTS_BASE).</t>
        </is>
      </c>
    </row>
  </sheetData>
  <mergeCells count="1">
    <mergeCell ref="B12:H14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7"/>
  <sheetViews>
    <sheetView workbookViewId="0">
      <selection activeCell="A1" sqref="A1"/>
    </sheetView>
  </sheetViews>
  <sheetFormatPr baseColWidth="8" defaultRowHeight="15"/>
  <cols>
    <col width="160" customWidth="1" min="1" max="1"/>
  </cols>
  <sheetData>
    <row r="1">
      <c r="A1" s="38" t="inlineStr">
        <is>
          <t>VYTALIX — 36-month financial model (Jan 2027 – Dec 2029)</t>
        </is>
      </c>
    </row>
    <row r="3">
      <c r="A3" s="2" t="inlineStr">
        <is>
          <t>Status: SCENARIO MODEL v1.1, built 7 September 2026 and revised 8 September 2026 by finance/build_model.py. GBP. UK-domiciled entity (to be incorporated — TO VALIDATE).</t>
        </is>
      </c>
    </row>
    <row r="4">
      <c r="A4" s="2" t="inlineStr">
        <is>
          <t>No figure in this workbook is an actual. Vytalix has no revenue, customers, contracts, grants or product in production (FACTS_BASE.md). Every number is a scenario built from the stated assumptions.</t>
        </is>
      </c>
    </row>
    <row r="5">
      <c r="A5" s="2" t="inlineStr"/>
    </row>
    <row r="6">
      <c r="A6" s="3" t="inlineStr">
        <is>
          <t>HOW TO USE</t>
        </is>
      </c>
    </row>
    <row r="7">
      <c r="A7" s="2" t="inlineStr">
        <is>
          <t>1. Assumptions!C4 selects the scenario (1 Conservative, 2 Base, 3 High-growth). Column F ('ACTIVE') = INDEX(C:E, selector) and every formula sheet reads column F.</t>
        </is>
      </c>
    </row>
    <row r="8">
      <c r="A8" s="2" t="inlineStr">
        <is>
          <t>2. Blue/yellow cells in Assumptions are inputs. Year-dependent inputs (Y1/Y2/Y3) are read with CHOOSE(year index, Y1, Y2, Y3).</t>
        </is>
      </c>
    </row>
    <row r="9">
      <c r="A9" s="2" t="inlineStr">
        <is>
          <t>3. Timeline sheets run left to right: Revenue build → Cost of sales → Headcount → Opex → P&amp;L → Cash flow → Funding requirement → Dashboard. Months are in columns C:AL; annual totals in AN:AQ.</t>
        </is>
      </c>
    </row>
    <row r="10">
      <c r="A10" s="2" t="inlineStr">
        <is>
          <t>4. Sensitivity and Static summary are values computed in Python with identical logic; they do not react to C4. Re-run the script after editing assumptions.</t>
        </is>
      </c>
    </row>
    <row r="11">
      <c r="A11" s="2" t="inlineStr">
        <is>
          <t>5. Assumptions!ml_delay adds months to the MaternaLink licence go-live for slippage tests.</t>
        </is>
      </c>
    </row>
    <row r="12">
      <c r="A12" s="2" t="inlineStr"/>
    </row>
    <row r="13">
      <c r="A13" s="3" t="inlineStr">
        <is>
          <t>SHEETS</t>
        </is>
      </c>
    </row>
    <row r="14">
      <c r="A14" s="2" t="inlineStr">
        <is>
          <t>Assumptions — three scenario columns, selector, derived payroll on-costs. | Revenue build — advisory days × rate × utilisation, retainers, consulting projects × value, e-learning learners × ARPU + corporate licences, MaternaLink pilots × value then per-woman licences from go-live.</t>
        </is>
      </c>
    </row>
    <row r="15">
      <c r="A15" s="2" t="inlineStr">
        <is>
          <t>Cost of sales — direct costs and gross margin. | Opex — founder salary, hires by start month, contractors, technology, marketing, legal, compliance, insurance, software, travel, operations, accountancy; employer NI 15% above £5,000 and pension 3% of qualifying earnings (2026/27 — see notes in Assumptions).</t>
        </is>
      </c>
    </row>
    <row r="16">
      <c r="A16" s="2" t="inlineStr">
        <is>
          <t>Headcount — flags, salaries, NI, pension, Employment Allowance. | P&amp;L — monthly and annual. | Cash flow — collection lag, funding by round/month, closing cash, minimum cash, runway.</t>
        </is>
      </c>
    </row>
    <row r="17">
      <c r="A17" s="2" t="inlineStr">
        <is>
          <t>Funding requirement — peak cash need, break-even month, funded-through check, rounds table. | Dashboard — KPIs and charts. | Sensitivity — day rate, utilisation, MaternaLink go-live delay. | Static summary — all three scenarios.</t>
        </is>
      </c>
    </row>
    <row r="18">
      <c r="A18" s="2" t="inlineStr"/>
    </row>
    <row r="19">
      <c r="A19" s="3" t="inlineStr">
        <is>
          <t>CONVENTIONS AND LIMITS</t>
        </is>
      </c>
    </row>
    <row r="20">
      <c r="A20" s="2" t="inlineStr">
        <is>
          <t>Hire start month 99 = not hired within the model. Costs are paid in the month incurred; services and MaternaLink invoices are collected with a one-month lag; e-learning is prepaid.</t>
        </is>
      </c>
    </row>
    <row r="21">
      <c r="A21" s="2" t="inlineStr">
        <is>
          <t>No VAT, corporation tax, depreciation, interest or R&amp;D tax relief. Grants are recognised as other income when received and are entirely TO VALIDATE (competitive, none applied for).</t>
        </is>
      </c>
    </row>
    <row r="22">
      <c r="A22" s="2" t="inlineStr">
        <is>
          <t>The Ekiti proposal's £300 per woman per year is UNVALIDATED (FACTS_BASE A5) and is not used; Africa licences are modelled at £3–£12 per woman per year and UK at £8–£40.</t>
        </is>
      </c>
    </row>
    <row r="23">
      <c r="A23" s="2" t="inlineStr">
        <is>
          <t>Labels: KNOWN (rate cited to a public source, still TO VALIDATE against gov.uk before use) · ESTIMATE · ASSUMPTION · PROPOSED · TO VALIDATE.</t>
        </is>
      </c>
    </row>
    <row r="24">
      <c r="A24" s="2" t="inlineStr"/>
    </row>
    <row r="25">
      <c r="A25" s="2" t="inlineStr">
        <is>
          <t>CHANGE LOG — 8 SEPTEMBER 2026 (sanity-check revision; see notes on each Assumptions row)</t>
        </is>
      </c>
    </row>
    <row r="26">
      <c r="A26" s="2" t="inlineStr">
        <is>
          <t>1. Opening cash £25k/£35k/£50k (was £10k/£20k/£30k) and founder draw from month 4/3/3 (was 4/2/1): cash was negative in months 2–5 of every scenario before the pre-seed landed.</t>
        </is>
      </c>
    </row>
    <row r="27">
      <c r="A27" s="2" t="inlineStr">
        <is>
          <t>2. Conservative no longer hires Developer 1 (month 19 → not hired): with a £250k pre-seed, cash went negative at month 31. Conservative now ends month 36 with ~£21k and ~2 months' runway — the honest 'services-only' outcome.</t>
        </is>
      </c>
    </row>
    <row r="28">
      <c r="A28" s="2" t="inlineStr">
        <is>
          <t>3. Base Y3 and High-growth Y2–Y3 operating costs raised (contractors, technology, marketing, compliance, travel, operations) so the seed is actually spent on scaling. Before: Base burned ~£20k/month after a £2m seed; High-growth was EBITDA-positive from month 2 with £11m unspent at month 36.</t>
        </is>
      </c>
    </row>
    <row r="29">
      <c r="A29" s="2" t="inlineStr">
        <is>
          <t>4. Series A removed from the 36-month model (was £6m at month 32 in High-growth, raised while cash-generative). No scenario needs it for solvency within 36 months; it is a month 30–42 decision in 09_FUNDING_STRATEGY. The input rows remain for testing.</t>
        </is>
      </c>
    </row>
    <row r="30">
      <c r="A30" s="2" t="inlineStr">
        <is>
          <t>5. Added 'sustained break-even' (first month from which EBITDA stays positive to month 36) to P&amp;L, Funding requirement (row 20), Dashboard and Static summary — the previous 'first positive month' was a pre-salary blip (month 2–4).</t>
        </is>
      </c>
    </row>
    <row r="31">
      <c r="A31" s="2" t="inlineStr">
        <is>
          <t>6. Build order fix: the P&amp;L grant row and the Opening-cash row reference rows built later; the builder now runs a two-pass layout so every formula points at a real row. Formula-reference checker no longer flags string concatenations (&amp;Assumptions!D4).</t>
        </is>
      </c>
    </row>
    <row r="32">
      <c r="A32" s="2" t="inlineStr"/>
    </row>
    <row r="33">
      <c r="A33" s="2" t="inlineStr">
        <is>
          <t>SOURCES CITED (retrieved 7 Sept 2026 via web search; verify on gov.uk before external use)</t>
        </is>
      </c>
    </row>
    <row r="34">
      <c r="A34" s="2" t="inlineStr">
        <is>
          <t>Employer NI 15%, secondary threshold £5,000, Employment Allowance £10,500 (2026/27): https://www.moorepay.co.uk/payroll-hr-rates/tax-and-national-insurance-changes/ ; https://employerscalculator.co.uk/guides/employer-ni-rates-2026-27</t>
        </is>
      </c>
    </row>
    <row r="35">
      <c r="A35" s="2" t="inlineStr">
        <is>
          <t>Auto-enrolment 3% employer minimum on qualifying earnings £6,240–£50,270 (2026/27): https://www.moorepay.co.uk/payroll-hr-rates/automatic-enrolment/</t>
        </is>
      </c>
    </row>
    <row r="36">
      <c r="A36" s="2" t="inlineStr">
        <is>
          <t>SEIS: £250k company lifetime cap, £200k investor cap, gross assets &lt; £350k, &lt; 3 years trading, &lt; 25 employees: https://thecarry.co.uk/essentials/seis-and-eis-limits-and-thresholds-for-2026 ; https://www.gov.uk/government/statistics/enterprise-investment-scheme-and-seed-enterprise-investment-scheme-may-2026/enterprise-investment-scheme-and-seed-enterprise-investment-scheme-2026</t>
        </is>
      </c>
    </row>
    <row r="37">
      <c r="A37" s="2" t="inlineStr">
        <is>
          <t>EIS from 6 April 2026: £10m per 12 months (£20m knowledge-intensive), £24m lifetime (£40m KIC), gross assets £30m/£35m, investor £1m (£2m KIC): https://www.farrer.co.uk/news-and-insights/using-eis-and-seis-to-attract-investment-the-benefits-and-some-traps-to-avoid/ ; https://ct.me/content-hub/articles/eis-changes-from-april-2026-higher-investment-limits-for-innovative-companies/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43"/>
  <sheetViews>
    <sheetView workbookViewId="0">
      <pane xSplit="2" ySplit="7" topLeftCell="C8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6" customWidth="1" min="1" max="1"/>
    <col width="62" customWidth="1" min="2" max="2"/>
    <col width="14" customWidth="1" min="3" max="3"/>
    <col width="14" customWidth="1" min="4" max="4"/>
    <col width="14" customWidth="1" min="5" max="5"/>
    <col width="14" customWidth="1" min="6" max="6"/>
    <col width="12" customWidth="1" min="7" max="7"/>
    <col width="13" customWidth="1" min="8" max="8"/>
    <col width="90" customWidth="1" min="9" max="9"/>
  </cols>
  <sheetData>
    <row r="1">
      <c r="A1" s="38" t="inlineStr">
        <is>
          <t>VYTALIX — Assumptions (all values are scenario inputs; none are actuals)</t>
        </is>
      </c>
    </row>
    <row r="2">
      <c r="A2" s="4" t="inlineStr">
        <is>
          <t>Labels: KNOWN (cited) · ESTIMATE · ASSUMPTION · PROPOSED · TO VALIDATE. Blue cells are inputs. Column F = active scenario via INDEX.</t>
        </is>
      </c>
    </row>
    <row r="4">
      <c r="A4" s="5" t="inlineStr">
        <is>
          <t>SCENARIO SELECTOR (1 = Conservative, 2 = Base, 3 = High-growth)</t>
        </is>
      </c>
      <c r="C4" s="6" t="n">
        <v>2</v>
      </c>
      <c r="D4" s="7">
        <f>INDEX({"Conservative","Base","High-growth"},1,$C$4)</f>
        <v/>
      </c>
    </row>
    <row r="5">
      <c r="A5" s="4" t="inlineStr">
        <is>
          <t>Change C4 and the whole workbook (Revenue → Cash flow → Dashboard) re-points. Sensitivity and Static summary are Python-computed values and do not change.</t>
        </is>
      </c>
    </row>
    <row r="7">
      <c r="A7" s="8" t="inlineStr">
        <is>
          <t>Key</t>
        </is>
      </c>
      <c r="B7" s="8" t="inlineStr">
        <is>
          <t>Assumption</t>
        </is>
      </c>
      <c r="C7" s="8" t="inlineStr">
        <is>
          <t>Conservative</t>
        </is>
      </c>
      <c r="D7" s="8" t="inlineStr">
        <is>
          <t>Base</t>
        </is>
      </c>
      <c r="E7" s="8" t="inlineStr">
        <is>
          <t>High-growth</t>
        </is>
      </c>
      <c r="F7" s="8" t="inlineStr">
        <is>
          <t>ACTIVE</t>
        </is>
      </c>
      <c r="G7" s="8" t="inlineStr">
        <is>
          <t>Unit</t>
        </is>
      </c>
      <c r="H7" s="8" t="inlineStr">
        <is>
          <t>Label</t>
        </is>
      </c>
      <c r="I7" s="8" t="inlineStr">
        <is>
          <t>Note / source</t>
        </is>
      </c>
    </row>
    <row r="8">
      <c r="A8" s="9" t="inlineStr">
        <is>
          <t>General</t>
        </is>
      </c>
      <c r="B8" s="10" t="n"/>
      <c r="C8" s="10" t="n"/>
      <c r="D8" s="10" t="n"/>
      <c r="E8" s="10" t="n"/>
      <c r="F8" s="10" t="n"/>
      <c r="G8" s="10" t="n"/>
      <c r="H8" s="10" t="n"/>
      <c r="I8" s="10" t="n"/>
    </row>
    <row r="9">
      <c r="A9" s="4" t="inlineStr">
        <is>
          <t>opening_cash</t>
        </is>
      </c>
      <c r="B9" t="inlineStr">
        <is>
          <t>Opening cash (founder capital + director's loan, month 1)</t>
        </is>
      </c>
      <c r="C9" s="11" t="n">
        <v>25000</v>
      </c>
      <c r="D9" s="11" t="n">
        <v>35000</v>
      </c>
      <c r="E9" s="11" t="n">
        <v>50000</v>
      </c>
      <c r="F9" s="12">
        <f>INDEX($C9:$E9,1,$C$4)</f>
        <v/>
      </c>
      <c r="G9" t="inlineStr">
        <is>
          <t>GBP</t>
        </is>
      </c>
      <c r="H9" t="inlineStr">
        <is>
          <t>ASSUMPTION</t>
        </is>
      </c>
      <c r="I9" s="4" t="inlineStr">
        <is>
          <t>Founder's own contribution incl. a director's loan that bridges month-1 set-up costs until the pre-seed lands; TO VALIDATE with founder. (Revised 8 Sept 2026 from £10k/£20k/£30k, which left cash negative in months 2–5 of every scenario.)</t>
        </is>
      </c>
    </row>
    <row r="10">
      <c r="A10" s="4" t="inlineStr">
        <is>
          <t>collection_lag</t>
        </is>
      </c>
      <c r="B10" t="inlineStr">
        <is>
          <t>Collection lag — services &amp; MaternaLink invoices</t>
        </is>
      </c>
      <c r="C10" s="13" t="n">
        <v>1</v>
      </c>
      <c r="D10" s="13" t="n">
        <v>1</v>
      </c>
      <c r="E10" s="13" t="n">
        <v>1</v>
      </c>
      <c r="F10" s="14">
        <f>INDEX($C10:$E10,1,$C$4)</f>
        <v/>
      </c>
      <c r="G10" t="inlineStr">
        <is>
          <t>months</t>
        </is>
      </c>
      <c r="H10" t="inlineStr">
        <is>
          <t>ASSUMPTION</t>
        </is>
      </c>
      <c r="I10" s="4" t="inlineStr">
        <is>
          <t>E-learning collected same month (prepaid).</t>
        </is>
      </c>
    </row>
    <row r="11">
      <c r="A11" s="4" t="inlineStr">
        <is>
          <t>avail_days</t>
        </is>
      </c>
      <c r="B11" t="inlineStr">
        <is>
          <t>Founder available working days per month</t>
        </is>
      </c>
      <c r="C11" s="13" t="n">
        <v>17.33</v>
      </c>
      <c r="D11" s="13" t="n">
        <v>17.33</v>
      </c>
      <c r="E11" s="13" t="n">
        <v>17.33</v>
      </c>
      <c r="F11" s="14">
        <f>INDEX($C11:$E11,1,$C$4)</f>
        <v/>
      </c>
      <c r="G11" t="inlineStr">
        <is>
          <t>days</t>
        </is>
      </c>
      <c r="H11" t="inlineStr">
        <is>
          <t>ASSUMPTION</t>
        </is>
      </c>
      <c r="I11" s="4" t="inlineStr">
        <is>
          <t>208 days/year ÷ 12 (4 days/week on Vytalix, per 01_BUSINESS_MODEL).</t>
        </is>
      </c>
    </row>
    <row r="12">
      <c r="A12" s="4" t="inlineStr">
        <is>
          <t>ramp_months</t>
        </is>
      </c>
      <c r="B12" t="inlineStr">
        <is>
          <t>Sales ramp-up (months to full run-rate)</t>
        </is>
      </c>
      <c r="C12" s="13" t="n">
        <v>4</v>
      </c>
      <c r="D12" s="13" t="n">
        <v>3</v>
      </c>
      <c r="E12" s="13" t="n">
        <v>2</v>
      </c>
      <c r="F12" s="14">
        <f>INDEX($C12:$E12,1,$C$4)</f>
        <v/>
      </c>
      <c r="G12" t="inlineStr">
        <is>
          <t>months</t>
        </is>
      </c>
      <c r="H12" t="inlineStr">
        <is>
          <t>ASSUMPTION</t>
        </is>
      </c>
      <c r="I12" s="4" t="inlineStr">
        <is>
          <t>Ramp factor = MIN(1,(month-1)/ramp). Month 1 = 0 revenue (incorporation, outreach).</t>
        </is>
      </c>
    </row>
    <row r="13">
      <c r="A13" s="9" t="inlineStr">
        <is>
          <t>Advisory (founder-led days and retainers)</t>
        </is>
      </c>
      <c r="B13" s="10" t="n"/>
      <c r="C13" s="10" t="n"/>
      <c r="D13" s="10" t="n"/>
      <c r="E13" s="10" t="n"/>
      <c r="F13" s="10" t="n"/>
      <c r="G13" s="10" t="n"/>
      <c r="H13" s="10" t="n"/>
      <c r="I13" s="10" t="n"/>
    </row>
    <row r="14">
      <c r="A14" s="4" t="inlineStr">
        <is>
          <t>day_rate</t>
        </is>
      </c>
      <c r="B14" t="inlineStr">
        <is>
          <t>Founder day rate</t>
        </is>
      </c>
      <c r="C14" s="11" t="n">
        <v>1200</v>
      </c>
      <c r="D14" s="11" t="n">
        <v>1500</v>
      </c>
      <c r="E14" s="11" t="n">
        <v>1800</v>
      </c>
      <c r="F14" s="12">
        <f>INDEX($C14:$E14,1,$C$4)</f>
        <v/>
      </c>
      <c r="G14" t="inlineStr">
        <is>
          <t>GBP/day</t>
        </is>
      </c>
      <c r="H14" t="inlineStr">
        <is>
          <t>ESTIMATE</t>
        </is>
      </c>
      <c r="I14" s="4" t="inlineStr">
        <is>
          <t>Range £1,200–£1,800 per 01_BUSINESS_MODEL §4.1.</t>
        </is>
      </c>
    </row>
    <row r="15">
      <c r="A15" s="4" t="inlineStr">
        <is>
          <t>utilisation</t>
        </is>
      </c>
      <c r="B15" t="inlineStr">
        <is>
          <t>Founder billable utilisation (all client work)</t>
        </is>
      </c>
      <c r="C15" s="15" t="n">
        <v>0.3</v>
      </c>
      <c r="D15" s="15" t="n">
        <v>0.42</v>
      </c>
      <c r="E15" s="15" t="n">
        <v>0.55</v>
      </c>
      <c r="F15" s="16">
        <f>INDEX($C15:$E15,1,$C$4)</f>
        <v/>
      </c>
      <c r="G15" t="inlineStr">
        <is>
          <t>%</t>
        </is>
      </c>
      <c r="H15" t="inlineStr">
        <is>
          <t>ESTIMATE</t>
        </is>
      </c>
      <c r="I15" s="4" t="inlineStr">
        <is>
          <t>Share of available days billed (advisory days + retainers + consulting delivery).</t>
        </is>
      </c>
    </row>
    <row r="16">
      <c r="A16" s="4" t="inlineStr">
        <is>
          <t>ret_start</t>
        </is>
      </c>
      <c r="B16" t="inlineStr">
        <is>
          <t>Retainers — first retainer month</t>
        </is>
      </c>
      <c r="C16" s="13" t="n">
        <v>3</v>
      </c>
      <c r="D16" s="13" t="n">
        <v>2</v>
      </c>
      <c r="E16" s="13" t="n">
        <v>2</v>
      </c>
      <c r="F16" s="14">
        <f>INDEX($C16:$E16,1,$C$4)</f>
        <v/>
      </c>
      <c r="G16" t="inlineStr">
        <is>
          <t>month</t>
        </is>
      </c>
      <c r="H16" t="inlineStr">
        <is>
          <t>ASSUMPTION</t>
        </is>
      </c>
      <c r="I16" s="4" t="inlineStr"/>
    </row>
    <row r="17">
      <c r="A17" s="4" t="inlineStr">
        <is>
          <t>ret_y1</t>
        </is>
      </c>
      <c r="B17" t="inlineStr">
        <is>
          <t>Retainers active — Y1 (average)</t>
        </is>
      </c>
      <c r="C17" s="13" t="n">
        <v>0.5</v>
      </c>
      <c r="D17" s="13" t="n">
        <v>1</v>
      </c>
      <c r="E17" s="13" t="n">
        <v>2</v>
      </c>
      <c r="F17" s="14">
        <f>INDEX($C17:$E17,1,$C$4)</f>
        <v/>
      </c>
      <c r="G17" t="inlineStr">
        <is>
          <t>count</t>
        </is>
      </c>
      <c r="H17" t="inlineStr">
        <is>
          <t>ESTIMATE</t>
        </is>
      </c>
      <c r="I17" s="4" t="inlineStr">
        <is>
          <t>Fractional = part-year.</t>
        </is>
      </c>
    </row>
    <row r="18">
      <c r="A18" s="4" t="inlineStr">
        <is>
          <t>ret_y2</t>
        </is>
      </c>
      <c r="B18" t="inlineStr">
        <is>
          <t>Retainers active — Y2 (average)</t>
        </is>
      </c>
      <c r="C18" s="13" t="n">
        <v>1</v>
      </c>
      <c r="D18" s="13" t="n">
        <v>2</v>
      </c>
      <c r="E18" s="13" t="n">
        <v>3</v>
      </c>
      <c r="F18" s="14">
        <f>INDEX($C18:$E18,1,$C$4)</f>
        <v/>
      </c>
      <c r="G18" t="inlineStr">
        <is>
          <t>count</t>
        </is>
      </c>
      <c r="H18" t="inlineStr">
        <is>
          <t>ESTIMATE</t>
        </is>
      </c>
      <c r="I18" s="4" t="inlineStr"/>
    </row>
    <row r="19">
      <c r="A19" s="4" t="inlineStr">
        <is>
          <t>ret_y3</t>
        </is>
      </c>
      <c r="B19" t="inlineStr">
        <is>
          <t>Retainers active — Y3 (average)</t>
        </is>
      </c>
      <c r="C19" s="13" t="n">
        <v>1</v>
      </c>
      <c r="D19" s="13" t="n">
        <v>2</v>
      </c>
      <c r="E19" s="13" t="n">
        <v>3</v>
      </c>
      <c r="F19" s="14">
        <f>INDEX($C19:$E19,1,$C$4)</f>
        <v/>
      </c>
      <c r="G19" t="inlineStr">
        <is>
          <t>count</t>
        </is>
      </c>
      <c r="H19" t="inlineStr">
        <is>
          <t>ESTIMATE</t>
        </is>
      </c>
      <c r="I19" s="4" t="inlineStr"/>
    </row>
    <row r="20">
      <c r="A20" s="4" t="inlineStr">
        <is>
          <t>ret_fee</t>
        </is>
      </c>
      <c r="B20" t="inlineStr">
        <is>
          <t>Retainer fee per month</t>
        </is>
      </c>
      <c r="C20" s="11" t="n">
        <v>3500</v>
      </c>
      <c r="D20" s="11" t="n">
        <v>4000</v>
      </c>
      <c r="E20" s="11" t="n">
        <v>5000</v>
      </c>
      <c r="F20" s="12">
        <f>INDEX($C20:$E20,1,$C$4)</f>
        <v/>
      </c>
      <c r="G20" t="inlineStr">
        <is>
          <t>GBP/month</t>
        </is>
      </c>
      <c r="H20" t="inlineStr">
        <is>
          <t>ESTIMATE</t>
        </is>
      </c>
      <c r="I20" s="4" t="inlineStr">
        <is>
          <t>£2,500–£6,000 per 01_BUSINESS_MODEL #2.</t>
        </is>
      </c>
    </row>
    <row r="21">
      <c r="A21" s="4" t="inlineStr">
        <is>
          <t>ret_days</t>
        </is>
      </c>
      <c r="B21" t="inlineStr">
        <is>
          <t>Founder days consumed per retainer per month</t>
        </is>
      </c>
      <c r="C21" s="13" t="n">
        <v>2.5</v>
      </c>
      <c r="D21" s="13" t="n">
        <v>2.5</v>
      </c>
      <c r="E21" s="13" t="n">
        <v>2.5</v>
      </c>
      <c r="F21" s="14">
        <f>INDEX($C21:$E21,1,$C$4)</f>
        <v/>
      </c>
      <c r="G21" t="inlineStr">
        <is>
          <t>days</t>
        </is>
      </c>
      <c r="H21" t="inlineStr">
        <is>
          <t>ASSUMPTION</t>
        </is>
      </c>
      <c r="I21" s="4" t="inlineStr"/>
    </row>
    <row r="22">
      <c r="A22" s="4" t="inlineStr">
        <is>
          <t>adv_cost_day</t>
        </is>
      </c>
      <c r="B22" t="inlineStr">
        <is>
          <t>Direct cost per founder billable day (travel, tools)</t>
        </is>
      </c>
      <c r="C22" s="17" t="n">
        <v>50</v>
      </c>
      <c r="D22" s="17" t="n">
        <v>50</v>
      </c>
      <c r="E22" s="17" t="n">
        <v>50</v>
      </c>
      <c r="F22" s="18">
        <f>INDEX($C22:$E22,1,$C$4)</f>
        <v/>
      </c>
      <c r="G22" t="inlineStr">
        <is>
          <t>GBP/day</t>
        </is>
      </c>
      <c r="H22" t="inlineStr">
        <is>
          <t>ESTIMATE</t>
        </is>
      </c>
      <c r="I22" s="4" t="inlineStr"/>
    </row>
    <row r="23">
      <c r="A23" s="4" t="inlineStr">
        <is>
          <t>cons_days</t>
        </is>
      </c>
      <c r="B23" t="inlineStr">
        <is>
          <t>Senior consultant billable days per month (once hired)</t>
        </is>
      </c>
      <c r="C23" s="13" t="n">
        <v>0</v>
      </c>
      <c r="D23" s="13" t="n">
        <v>10</v>
      </c>
      <c r="E23" s="13" t="n">
        <v>10</v>
      </c>
      <c r="F23" s="14">
        <f>INDEX($C23:$E23,1,$C$4)</f>
        <v/>
      </c>
      <c r="G23" t="inlineStr">
        <is>
          <t>days</t>
        </is>
      </c>
      <c r="H23" t="inlineStr">
        <is>
          <t>ASSUMPTION</t>
        </is>
      </c>
      <c r="I23" s="4" t="inlineStr">
        <is>
          <t>Hire start month in Headcount block; 0 if never hired.</t>
        </is>
      </c>
    </row>
    <row r="24">
      <c r="A24" s="4" t="inlineStr">
        <is>
          <t>cons_rate</t>
        </is>
      </c>
      <c r="B24" t="inlineStr">
        <is>
          <t>Senior consultant billed day rate</t>
        </is>
      </c>
      <c r="C24" s="11" t="n">
        <v>900</v>
      </c>
      <c r="D24" s="11" t="n">
        <v>900</v>
      </c>
      <c r="E24" s="11" t="n">
        <v>1000</v>
      </c>
      <c r="F24" s="12">
        <f>INDEX($C24:$E24,1,$C$4)</f>
        <v/>
      </c>
      <c r="G24" t="inlineStr">
        <is>
          <t>GBP/day</t>
        </is>
      </c>
      <c r="H24" t="inlineStr">
        <is>
          <t>ESTIMATE</t>
        </is>
      </c>
      <c r="I24" s="4" t="inlineStr">
        <is>
          <t>Associate-level rate £700–£1,000 per 01_BUSINESS_MODEL.</t>
        </is>
      </c>
    </row>
    <row r="25">
      <c r="A25" s="9" t="inlineStr">
        <is>
          <t>Consulting (packaged projects)</t>
        </is>
      </c>
      <c r="B25" s="10" t="n"/>
      <c r="C25" s="10" t="n"/>
      <c r="D25" s="10" t="n"/>
      <c r="E25" s="10" t="n"/>
      <c r="F25" s="10" t="n"/>
      <c r="G25" s="10" t="n"/>
      <c r="H25" s="10" t="n"/>
      <c r="I25" s="10" t="n"/>
    </row>
    <row r="26">
      <c r="A26" s="4" t="inlineStr">
        <is>
          <t>proj_y1</t>
        </is>
      </c>
      <c r="B26" t="inlineStr">
        <is>
          <t>Projects won — Y1</t>
        </is>
      </c>
      <c r="C26" s="13" t="n">
        <v>2</v>
      </c>
      <c r="D26" s="13" t="n">
        <v>5</v>
      </c>
      <c r="E26" s="13" t="n">
        <v>8</v>
      </c>
      <c r="F26" s="14">
        <f>INDEX($C26:$E26,1,$C$4)</f>
        <v/>
      </c>
      <c r="G26" t="inlineStr">
        <is>
          <t>count</t>
        </is>
      </c>
      <c r="H26" t="inlineStr">
        <is>
          <t>ESTIMATE</t>
        </is>
      </c>
      <c r="I26" s="4" t="inlineStr">
        <is>
          <t>Spread evenly across the year after ramp.</t>
        </is>
      </c>
    </row>
    <row r="27">
      <c r="A27" s="4" t="inlineStr">
        <is>
          <t>proj_y2</t>
        </is>
      </c>
      <c r="B27" t="inlineStr">
        <is>
          <t>Projects won — Y2</t>
        </is>
      </c>
      <c r="C27" s="13" t="n">
        <v>4</v>
      </c>
      <c r="D27" s="13" t="n">
        <v>8</v>
      </c>
      <c r="E27" s="13" t="n">
        <v>14</v>
      </c>
      <c r="F27" s="14">
        <f>INDEX($C27:$E27,1,$C$4)</f>
        <v/>
      </c>
      <c r="G27" t="inlineStr">
        <is>
          <t>count</t>
        </is>
      </c>
      <c r="H27" t="inlineStr">
        <is>
          <t>ESTIMATE</t>
        </is>
      </c>
      <c r="I27" s="4" t="inlineStr"/>
    </row>
    <row r="28">
      <c r="A28" s="4" t="inlineStr">
        <is>
          <t>proj_y3</t>
        </is>
      </c>
      <c r="B28" t="inlineStr">
        <is>
          <t>Projects won — Y3</t>
        </is>
      </c>
      <c r="C28" s="13" t="n">
        <v>5</v>
      </c>
      <c r="D28" s="13" t="n">
        <v>10</v>
      </c>
      <c r="E28" s="13" t="n">
        <v>18</v>
      </c>
      <c r="F28" s="14">
        <f>INDEX($C28:$E28,1,$C$4)</f>
        <v/>
      </c>
      <c r="G28" t="inlineStr">
        <is>
          <t>count</t>
        </is>
      </c>
      <c r="H28" t="inlineStr">
        <is>
          <t>ESTIMATE</t>
        </is>
      </c>
      <c r="I28" s="4" t="inlineStr"/>
    </row>
    <row r="29">
      <c r="A29" s="4" t="inlineStr">
        <is>
          <t>proj_value</t>
        </is>
      </c>
      <c r="B29" t="inlineStr">
        <is>
          <t>Average project value</t>
        </is>
      </c>
      <c r="C29" s="11" t="n">
        <v>15000</v>
      </c>
      <c r="D29" s="11" t="n">
        <v>20000</v>
      </c>
      <c r="E29" s="11" t="n">
        <v>30000</v>
      </c>
      <c r="F29" s="12">
        <f>INDEX($C29:$E29,1,$C$4)</f>
        <v/>
      </c>
      <c r="G29" t="inlineStr">
        <is>
          <t>GBP</t>
        </is>
      </c>
      <c r="H29" t="inlineStr">
        <is>
          <t>ESTIMATE</t>
        </is>
      </c>
      <c r="I29" s="4" t="inlineStr">
        <is>
          <t>Range £15k–£60k; catalogue prices £9.5k–£28k in 01_BUSINESS_MODEL §5.</t>
        </is>
      </c>
    </row>
    <row r="30">
      <c r="A30" s="4" t="inlineStr">
        <is>
          <t>fdays_proj</t>
        </is>
      </c>
      <c r="B30" t="inlineStr">
        <is>
          <t>Founder days per project</t>
        </is>
      </c>
      <c r="C30" s="13" t="n">
        <v>8</v>
      </c>
      <c r="D30" s="13" t="n">
        <v>7</v>
      </c>
      <c r="E30" s="13" t="n">
        <v>5</v>
      </c>
      <c r="F30" s="14">
        <f>INDEX($C30:$E30,1,$C$4)</f>
        <v/>
      </c>
      <c r="G30" t="inlineStr">
        <is>
          <t>days</t>
        </is>
      </c>
      <c r="H30" t="inlineStr">
        <is>
          <t>ASSUMPTION</t>
        </is>
      </c>
      <c r="I30" s="4" t="inlineStr">
        <is>
          <t>Lower in High-growth because associates deliver more (see delivery cost %).</t>
        </is>
      </c>
    </row>
    <row r="31">
      <c r="A31" s="4" t="inlineStr">
        <is>
          <t>proj_cost_pct</t>
        </is>
      </c>
      <c r="B31" t="inlineStr">
        <is>
          <t>Consulting delivery cost (associates, expenses) % of value</t>
        </is>
      </c>
      <c r="C31" s="15" t="n">
        <v>0.3</v>
      </c>
      <c r="D31" s="15" t="n">
        <v>0.35</v>
      </c>
      <c r="E31" s="15" t="n">
        <v>0.45</v>
      </c>
      <c r="F31" s="16">
        <f>INDEX($C31:$E31,1,$C$4)</f>
        <v/>
      </c>
      <c r="G31" t="inlineStr">
        <is>
          <t>%</t>
        </is>
      </c>
      <c r="H31" t="inlineStr">
        <is>
          <t>ESTIMATE</t>
        </is>
      </c>
      <c r="I31" s="4" t="inlineStr">
        <is>
          <t>Cost of sales. Rises with associate share.</t>
        </is>
      </c>
    </row>
    <row r="32">
      <c r="A32" s="9" t="inlineStr">
        <is>
          <t>E-learning</t>
        </is>
      </c>
      <c r="B32" s="10" t="n"/>
      <c r="C32" s="10" t="n"/>
      <c r="D32" s="10" t="n"/>
      <c r="E32" s="10" t="n"/>
      <c r="F32" s="10" t="n"/>
      <c r="G32" s="10" t="n"/>
      <c r="H32" s="10" t="n"/>
      <c r="I32" s="10" t="n"/>
    </row>
    <row r="33">
      <c r="A33" s="4" t="inlineStr">
        <is>
          <t>el_launch</t>
        </is>
      </c>
      <c r="B33" t="inlineStr">
        <is>
          <t>E-learning launch month</t>
        </is>
      </c>
      <c r="C33" s="13" t="n">
        <v>12</v>
      </c>
      <c r="D33" s="13" t="n">
        <v>9</v>
      </c>
      <c r="E33" s="13" t="n">
        <v>7</v>
      </c>
      <c r="F33" s="14">
        <f>INDEX($C33:$E33,1,$C$4)</f>
        <v/>
      </c>
      <c r="G33" t="inlineStr">
        <is>
          <t>month</t>
        </is>
      </c>
      <c r="H33" t="inlineStr">
        <is>
          <t>ASSUMPTION</t>
        </is>
      </c>
      <c r="I33" s="4" t="inlineStr">
        <is>
          <t>Two founder-authored courses first (01_BUSINESS_MODEL §6).</t>
        </is>
      </c>
    </row>
    <row r="34">
      <c r="A34" s="4" t="inlineStr">
        <is>
          <t>el_init</t>
        </is>
      </c>
      <c r="B34" t="inlineStr">
        <is>
          <t>New learners per month at launch</t>
        </is>
      </c>
      <c r="C34" s="13" t="n">
        <v>8</v>
      </c>
      <c r="D34" s="13" t="n">
        <v>15</v>
      </c>
      <c r="E34" s="13" t="n">
        <v>30</v>
      </c>
      <c r="F34" s="14">
        <f>INDEX($C34:$E34,1,$C$4)</f>
        <v/>
      </c>
      <c r="G34" t="inlineStr">
        <is>
          <t>learners</t>
        </is>
      </c>
      <c r="H34" t="inlineStr">
        <is>
          <t>ESTIMATE</t>
        </is>
      </c>
      <c r="I34" s="4" t="inlineStr"/>
    </row>
    <row r="35">
      <c r="A35" s="4" t="inlineStr">
        <is>
          <t>el_growth</t>
        </is>
      </c>
      <c r="B35" t="inlineStr">
        <is>
          <t>Monthly growth in new learners</t>
        </is>
      </c>
      <c r="C35" s="15" t="n">
        <v>0.03</v>
      </c>
      <c r="D35" s="15" t="n">
        <v>0.05</v>
      </c>
      <c r="E35" s="15" t="n">
        <v>0.07000000000000001</v>
      </c>
      <c r="F35" s="16">
        <f>INDEX($C35:$E35,1,$C$4)</f>
        <v/>
      </c>
      <c r="G35" t="inlineStr">
        <is>
          <t>%</t>
        </is>
      </c>
      <c r="H35" t="inlineStr">
        <is>
          <t>ESTIMATE</t>
        </is>
      </c>
      <c r="I35" s="4" t="inlineStr">
        <is>
          <t>Compound, from launch.</t>
        </is>
      </c>
    </row>
    <row r="36">
      <c r="A36" s="4" t="inlineStr">
        <is>
          <t>el_arpu</t>
        </is>
      </c>
      <c r="B36" t="inlineStr">
        <is>
          <t>Average revenue per learner (ARPU)</t>
        </is>
      </c>
      <c r="C36" s="11" t="n">
        <v>150</v>
      </c>
      <c r="D36" s="11" t="n">
        <v>200</v>
      </c>
      <c r="E36" s="11" t="n">
        <v>300</v>
      </c>
      <c r="F36" s="12">
        <f>INDEX($C36:$E36,1,$C$4)</f>
        <v/>
      </c>
      <c r="G36" t="inlineStr">
        <is>
          <t>GBP</t>
        </is>
      </c>
      <c r="H36" t="inlineStr">
        <is>
          <t>ESTIMATE</t>
        </is>
      </c>
      <c r="I36" s="4" t="inlineStr">
        <is>
          <t>Range £150–£400; course prices £49–£299 UK, regional pricing lower.</t>
        </is>
      </c>
    </row>
    <row r="37">
      <c r="A37" s="4" t="inlineStr">
        <is>
          <t>corp_y1</t>
        </is>
      </c>
      <c r="B37" t="inlineStr">
        <is>
          <t>Corporate licences active — Y1</t>
        </is>
      </c>
      <c r="C37" s="13" t="n">
        <v>0</v>
      </c>
      <c r="D37" s="13" t="n">
        <v>0</v>
      </c>
      <c r="E37" s="13" t="n">
        <v>1</v>
      </c>
      <c r="F37" s="14">
        <f>INDEX($C37:$E37,1,$C$4)</f>
        <v/>
      </c>
      <c r="G37" t="inlineStr">
        <is>
          <t>count</t>
        </is>
      </c>
      <c r="H37" t="inlineStr">
        <is>
          <t>ESTIMATE</t>
        </is>
      </c>
      <c r="I37" s="4" t="inlineStr"/>
    </row>
    <row r="38">
      <c r="A38" s="4" t="inlineStr">
        <is>
          <t>corp_y2</t>
        </is>
      </c>
      <c r="B38" t="inlineStr">
        <is>
          <t>Corporate licences active — Y2</t>
        </is>
      </c>
      <c r="C38" s="13" t="n">
        <v>1</v>
      </c>
      <c r="D38" s="13" t="n">
        <v>3</v>
      </c>
      <c r="E38" s="13" t="n">
        <v>6</v>
      </c>
      <c r="F38" s="14">
        <f>INDEX($C38:$E38,1,$C$4)</f>
        <v/>
      </c>
      <c r="G38" t="inlineStr">
        <is>
          <t>count</t>
        </is>
      </c>
      <c r="H38" t="inlineStr">
        <is>
          <t>ESTIMATE</t>
        </is>
      </c>
      <c r="I38" s="4" t="inlineStr"/>
    </row>
    <row r="39">
      <c r="A39" s="4" t="inlineStr">
        <is>
          <t>corp_y3</t>
        </is>
      </c>
      <c r="B39" t="inlineStr">
        <is>
          <t>Corporate licences active — Y3</t>
        </is>
      </c>
      <c r="C39" s="13" t="n">
        <v>2</v>
      </c>
      <c r="D39" s="13" t="n">
        <v>6</v>
      </c>
      <c r="E39" s="13" t="n">
        <v>12</v>
      </c>
      <c r="F39" s="14">
        <f>INDEX($C39:$E39,1,$C$4)</f>
        <v/>
      </c>
      <c r="G39" t="inlineStr">
        <is>
          <t>count</t>
        </is>
      </c>
      <c r="H39" t="inlineStr">
        <is>
          <t>ESTIMATE</t>
        </is>
      </c>
      <c r="I39" s="4" t="inlineStr"/>
    </row>
    <row r="40">
      <c r="A40" s="4" t="inlineStr">
        <is>
          <t>corp_value</t>
        </is>
      </c>
      <c r="B40" t="inlineStr">
        <is>
          <t>Corporate licence value per year</t>
        </is>
      </c>
      <c r="C40" s="11" t="n">
        <v>2500</v>
      </c>
      <c r="D40" s="11" t="n">
        <v>5000</v>
      </c>
      <c r="E40" s="11" t="n">
        <v>9000</v>
      </c>
      <c r="F40" s="12">
        <f>INDEX($C40:$E40,1,$C$4)</f>
        <v/>
      </c>
      <c r="G40" t="inlineStr">
        <is>
          <t>GBP/year</t>
        </is>
      </c>
      <c r="H40" t="inlineStr">
        <is>
          <t>ESTIMATE</t>
        </is>
      </c>
      <c r="I40" s="4" t="inlineStr">
        <is>
          <t>£2,500 (10 seats) – £25,000 (250 seats) ladder.</t>
        </is>
      </c>
    </row>
    <row r="41">
      <c r="A41" s="4" t="inlineStr">
        <is>
          <t>el_cos_pct</t>
        </is>
      </c>
      <c r="B41" t="inlineStr">
        <is>
          <t>E-learning platform + payment fees % of revenue</t>
        </is>
      </c>
      <c r="C41" s="15" t="n">
        <v>0.15</v>
      </c>
      <c r="D41" s="15" t="n">
        <v>0.15</v>
      </c>
      <c r="E41" s="15" t="n">
        <v>0.15</v>
      </c>
      <c r="F41" s="16">
        <f>INDEX($C41:$E41,1,$C$4)</f>
        <v/>
      </c>
      <c r="G41" t="inlineStr">
        <is>
          <t>%</t>
        </is>
      </c>
      <c r="H41" t="inlineStr">
        <is>
          <t>ESTIMATE</t>
        </is>
      </c>
      <c r="I41" s="4" t="inlineStr"/>
    </row>
    <row r="42">
      <c r="A42" s="4" t="inlineStr">
        <is>
          <t>el_content</t>
        </is>
      </c>
      <c r="B42" t="inlineStr">
        <is>
          <t>E-learning content build (one-off, launch month)</t>
        </is>
      </c>
      <c r="C42" s="11" t="n">
        <v>8000</v>
      </c>
      <c r="D42" s="11" t="n">
        <v>12000</v>
      </c>
      <c r="E42" s="11" t="n">
        <v>20000</v>
      </c>
      <c r="F42" s="12">
        <f>INDEX($C42:$E42,1,$C$4)</f>
        <v/>
      </c>
      <c r="G42" t="inlineStr">
        <is>
          <t>GBP</t>
        </is>
      </c>
      <c r="H42" t="inlineStr">
        <is>
          <t>ESTIMATE</t>
        </is>
      </c>
      <c r="I42" s="4" t="inlineStr">
        <is>
          <t>£8k–£15k per course; two courses at launch (High builds more).</t>
        </is>
      </c>
    </row>
    <row r="43">
      <c r="A43" s="9" t="inlineStr">
        <is>
          <t>MaternaLink (in development) — pilots then licences</t>
        </is>
      </c>
      <c r="B43" s="10" t="n"/>
      <c r="C43" s="10" t="n"/>
      <c r="D43" s="10" t="n"/>
      <c r="E43" s="10" t="n"/>
      <c r="F43" s="10" t="n"/>
      <c r="G43" s="10" t="n"/>
      <c r="H43" s="10" t="n"/>
      <c r="I43" s="10" t="n"/>
    </row>
    <row r="44">
      <c r="A44" s="4" t="inlineStr">
        <is>
          <t>ml_pilot_start</t>
        </is>
      </c>
      <c r="B44" t="inlineStr">
        <is>
          <t>First paid pilot month</t>
        </is>
      </c>
      <c r="C44" s="13" t="n">
        <v>18</v>
      </c>
      <c r="D44" s="13" t="n">
        <v>13</v>
      </c>
      <c r="E44" s="13" t="n">
        <v>10</v>
      </c>
      <c r="F44" s="14">
        <f>INDEX($C44:$E44,1,$C$4)</f>
        <v/>
      </c>
      <c r="G44" t="inlineStr">
        <is>
          <t>month</t>
        </is>
      </c>
      <c r="H44" t="inlineStr">
        <is>
          <t>TO VALIDATE</t>
        </is>
      </c>
      <c r="I44" s="4" t="inlineStr">
        <is>
          <t>Gated by IP ownership, safety case, DPIA, a partner site (01_BUSINESS_MODEL §7).</t>
        </is>
      </c>
    </row>
    <row r="45">
      <c r="A45" s="4" t="inlineStr">
        <is>
          <t>ml_pil_y1</t>
        </is>
      </c>
      <c r="B45" t="inlineStr">
        <is>
          <t>Active paid pilots — Y1</t>
        </is>
      </c>
      <c r="C45" s="13" t="n">
        <v>0</v>
      </c>
      <c r="D45" s="13" t="n">
        <v>0</v>
      </c>
      <c r="E45" s="13" t="n">
        <v>1</v>
      </c>
      <c r="F45" s="14">
        <f>INDEX($C45:$E45,1,$C$4)</f>
        <v/>
      </c>
      <c r="G45" t="inlineStr">
        <is>
          <t>count</t>
        </is>
      </c>
      <c r="H45" t="inlineStr">
        <is>
          <t>ESTIMATE</t>
        </is>
      </c>
      <c r="I45" s="4" t="inlineStr"/>
    </row>
    <row r="46">
      <c r="A46" s="4" t="inlineStr">
        <is>
          <t>ml_pil_y2</t>
        </is>
      </c>
      <c r="B46" t="inlineStr">
        <is>
          <t>Active paid pilots — Y2</t>
        </is>
      </c>
      <c r="C46" s="13" t="n">
        <v>1</v>
      </c>
      <c r="D46" s="13" t="n">
        <v>1</v>
      </c>
      <c r="E46" s="13" t="n">
        <v>2</v>
      </c>
      <c r="F46" s="14">
        <f>INDEX($C46:$E46,1,$C$4)</f>
        <v/>
      </c>
      <c r="G46" t="inlineStr">
        <is>
          <t>count</t>
        </is>
      </c>
      <c r="H46" t="inlineStr">
        <is>
          <t>ESTIMATE</t>
        </is>
      </c>
      <c r="I46" s="4" t="inlineStr"/>
    </row>
    <row r="47">
      <c r="A47" s="4" t="inlineStr">
        <is>
          <t>ml_pil_y3</t>
        </is>
      </c>
      <c r="B47" t="inlineStr">
        <is>
          <t>Active paid pilots — Y3</t>
        </is>
      </c>
      <c r="C47" s="13" t="n">
        <v>1</v>
      </c>
      <c r="D47" s="13" t="n">
        <v>2</v>
      </c>
      <c r="E47" s="13" t="n">
        <v>4</v>
      </c>
      <c r="F47" s="14">
        <f>INDEX($C47:$E47,1,$C$4)</f>
        <v/>
      </c>
      <c r="G47" t="inlineStr">
        <is>
          <t>count</t>
        </is>
      </c>
      <c r="H47" t="inlineStr">
        <is>
          <t>ESTIMATE</t>
        </is>
      </c>
      <c r="I47" s="4" t="inlineStr"/>
    </row>
    <row r="48">
      <c r="A48" s="4" t="inlineStr">
        <is>
          <t>ml_pilot_value</t>
        </is>
      </c>
      <c r="B48" t="inlineStr">
        <is>
          <t>Pilot value per pilot per year</t>
        </is>
      </c>
      <c r="C48" s="11" t="n">
        <v>40000</v>
      </c>
      <c r="D48" s="11" t="n">
        <v>75000</v>
      </c>
      <c r="E48" s="11" t="n">
        <v>150000</v>
      </c>
      <c r="F48" s="12">
        <f>INDEX($C48:$E48,1,$C$4)</f>
        <v/>
      </c>
      <c r="G48" t="inlineStr">
        <is>
          <t>GBP/year</t>
        </is>
      </c>
      <c r="H48" t="inlineStr">
        <is>
          <t>ESTIMATE</t>
        </is>
      </c>
      <c r="I48" s="4" t="inlineStr">
        <is>
          <t>Range £40k–£150k. Recognised evenly over the months the pilot is active.</t>
        </is>
      </c>
    </row>
    <row r="49">
      <c r="A49" s="4" t="inlineStr">
        <is>
          <t>ml_pilot_cost_pct</t>
        </is>
      </c>
      <c r="B49" t="inlineStr">
        <is>
          <t>Pilot delivery cost % of pilot value</t>
        </is>
      </c>
      <c r="C49" s="15" t="n">
        <v>0.5</v>
      </c>
      <c r="D49" s="15" t="n">
        <v>0.45</v>
      </c>
      <c r="E49" s="15" t="n">
        <v>0.4</v>
      </c>
      <c r="F49" s="16">
        <f>INDEX($C49:$E49,1,$C$4)</f>
        <v/>
      </c>
      <c r="G49" t="inlineStr">
        <is>
          <t>%</t>
        </is>
      </c>
      <c r="H49" t="inlineStr">
        <is>
          <t>ESTIMATE</t>
        </is>
      </c>
      <c r="I49" s="4" t="inlineStr">
        <is>
          <t>Implementation, training, support; first pilots are near loss-leaders.</t>
        </is>
      </c>
    </row>
    <row r="50">
      <c r="A50" s="4" t="inlineStr">
        <is>
          <t>ml_golive</t>
        </is>
      </c>
      <c r="B50" t="inlineStr">
        <is>
          <t>Per-woman licence go-live month</t>
        </is>
      </c>
      <c r="C50" s="13" t="n">
        <v>27</v>
      </c>
      <c r="D50" s="13" t="n">
        <v>19</v>
      </c>
      <c r="E50" s="13" t="n">
        <v>15</v>
      </c>
      <c r="F50" s="14">
        <f>INDEX($C50:$E50,1,$C$4)</f>
        <v/>
      </c>
      <c r="G50" t="inlineStr">
        <is>
          <t>month</t>
        </is>
      </c>
      <c r="H50" t="inlineStr">
        <is>
          <t>TO VALIDATE</t>
        </is>
      </c>
      <c r="I50" s="4" t="inlineStr">
        <is>
          <t>Conservative: small and from month 18+ (here 27).</t>
        </is>
      </c>
    </row>
    <row r="51">
      <c r="A51" s="4" t="inlineStr">
        <is>
          <t>ml_delay</t>
        </is>
      </c>
      <c r="B51" t="inlineStr">
        <is>
          <t>Go-live delay (sensitivity input, months)</t>
        </is>
      </c>
      <c r="C51" s="13" t="n">
        <v>0</v>
      </c>
      <c r="D51" s="13" t="n">
        <v>0</v>
      </c>
      <c r="E51" s="13" t="n">
        <v>0</v>
      </c>
      <c r="F51" s="14">
        <f>INDEX($C51:$E51,1,$C$4)</f>
        <v/>
      </c>
      <c r="G51" t="inlineStr">
        <is>
          <t>months</t>
        </is>
      </c>
      <c r="H51" t="inlineStr">
        <is>
          <t>INPUT</t>
        </is>
      </c>
      <c r="I51" s="4" t="inlineStr">
        <is>
          <t>Add months here to test regulatory/partner slippage.</t>
        </is>
      </c>
    </row>
    <row r="52">
      <c r="A52" s="4" t="inlineStr">
        <is>
          <t>uk_init</t>
        </is>
      </c>
      <c r="B52" t="inlineStr">
        <is>
          <t>UK women enrolled at go-live</t>
        </is>
      </c>
      <c r="C52" s="13" t="n">
        <v>200</v>
      </c>
      <c r="D52" s="13" t="n">
        <v>500</v>
      </c>
      <c r="E52" s="13" t="n">
        <v>1500</v>
      </c>
      <c r="F52" s="14">
        <f>INDEX($C52:$E52,1,$C$4)</f>
        <v/>
      </c>
      <c r="G52" t="inlineStr">
        <is>
          <t>women</t>
        </is>
      </c>
      <c r="H52" t="inlineStr">
        <is>
          <t>ESTIMATE</t>
        </is>
      </c>
      <c r="I52" s="4" t="inlineStr"/>
    </row>
    <row r="53">
      <c r="A53" s="4" t="inlineStr">
        <is>
          <t>uk_add</t>
        </is>
      </c>
      <c r="B53" t="inlineStr">
        <is>
          <t>UK women added per month after go-live</t>
        </is>
      </c>
      <c r="C53" s="13" t="n">
        <v>50</v>
      </c>
      <c r="D53" s="13" t="n">
        <v>100</v>
      </c>
      <c r="E53" s="13" t="n">
        <v>300</v>
      </c>
      <c r="F53" s="14">
        <f>INDEX($C53:$E53,1,$C$4)</f>
        <v/>
      </c>
      <c r="G53" t="inlineStr">
        <is>
          <t>women/month</t>
        </is>
      </c>
      <c r="H53" t="inlineStr">
        <is>
          <t>ESTIMATE</t>
        </is>
      </c>
      <c r="I53" s="4" t="inlineStr"/>
    </row>
    <row r="54">
      <c r="A54" s="4" t="inlineStr">
        <is>
          <t>uk_price</t>
        </is>
      </c>
      <c r="B54" t="inlineStr">
        <is>
          <t>UK licence per woman per year</t>
        </is>
      </c>
      <c r="C54" s="17" t="n">
        <v>8</v>
      </c>
      <c r="D54" s="17" t="n">
        <v>20</v>
      </c>
      <c r="E54" s="17" t="n">
        <v>40</v>
      </c>
      <c r="F54" s="18">
        <f>INDEX($C54:$E54,1,$C$4)</f>
        <v/>
      </c>
      <c r="G54" t="inlineStr">
        <is>
          <t>GBP</t>
        </is>
      </c>
      <c r="H54" t="inlineStr">
        <is>
          <t>ESTIMATE</t>
        </is>
      </c>
      <c r="I54" s="4" t="inlineStr">
        <is>
          <t>Range £8–£40. Equivalent to £40k–£120k per trust site licence at 3,000–5,000 births.</t>
        </is>
      </c>
    </row>
    <row r="55">
      <c r="A55" s="4" t="inlineStr">
        <is>
          <t>uk_cost</t>
        </is>
      </c>
      <c r="B55" t="inlineStr">
        <is>
          <t>UK hosting/support cost per woman per year</t>
        </is>
      </c>
      <c r="C55" s="17" t="n">
        <v>4</v>
      </c>
      <c r="D55" s="17" t="n">
        <v>4</v>
      </c>
      <c r="E55" s="17" t="n">
        <v>4</v>
      </c>
      <c r="F55" s="18">
        <f>INDEX($C55:$E55,1,$C$4)</f>
        <v/>
      </c>
      <c r="G55" t="inlineStr">
        <is>
          <t>GBP</t>
        </is>
      </c>
      <c r="H55" t="inlineStr">
        <is>
          <t>ESTIMATE</t>
        </is>
      </c>
      <c r="I55" s="4" t="inlineStr"/>
    </row>
    <row r="56">
      <c r="A56" s="4" t="inlineStr">
        <is>
          <t>af_init</t>
        </is>
      </c>
      <c r="B56" t="inlineStr">
        <is>
          <t>Africa women enrolled at go-live</t>
        </is>
      </c>
      <c r="C56" s="13" t="n">
        <v>1000</v>
      </c>
      <c r="D56" s="13" t="n">
        <v>5000</v>
      </c>
      <c r="E56" s="13" t="n">
        <v>15000</v>
      </c>
      <c r="F56" s="14">
        <f>INDEX($C56:$E56,1,$C$4)</f>
        <v/>
      </c>
      <c r="G56" t="inlineStr">
        <is>
          <t>women</t>
        </is>
      </c>
      <c r="H56" t="inlineStr">
        <is>
          <t>ESTIMATE</t>
        </is>
      </c>
      <c r="I56" s="4" t="inlineStr">
        <is>
          <t>Donor- or state-funded programme cohorts (LGA-level pilots, not full state).</t>
        </is>
      </c>
    </row>
    <row r="57">
      <c r="A57" s="4" t="inlineStr">
        <is>
          <t>af_add</t>
        </is>
      </c>
      <c r="B57" t="inlineStr">
        <is>
          <t>Africa women added per month after go-live</t>
        </is>
      </c>
      <c r="C57" s="13" t="n">
        <v>250</v>
      </c>
      <c r="D57" s="13" t="n">
        <v>1000</v>
      </c>
      <c r="E57" s="13" t="n">
        <v>3000</v>
      </c>
      <c r="F57" s="14">
        <f>INDEX($C57:$E57,1,$C$4)</f>
        <v/>
      </c>
      <c r="G57" t="inlineStr">
        <is>
          <t>women/month</t>
        </is>
      </c>
      <c r="H57" t="inlineStr">
        <is>
          <t>ESTIMATE</t>
        </is>
      </c>
      <c r="I57" s="4" t="inlineStr"/>
    </row>
    <row r="58">
      <c r="A58" s="4" t="inlineStr">
        <is>
          <t>af_price</t>
        </is>
      </c>
      <c r="B58" t="inlineStr">
        <is>
          <t>Africa licence per woman per year</t>
        </is>
      </c>
      <c r="C58" s="17" t="n">
        <v>3</v>
      </c>
      <c r="D58" s="17" t="n">
        <v>6</v>
      </c>
      <c r="E58" s="17" t="n">
        <v>12</v>
      </c>
      <c r="F58" s="18">
        <f>INDEX($C58:$E58,1,$C$4)</f>
        <v/>
      </c>
      <c r="G58" t="inlineStr">
        <is>
          <t>GBP</t>
        </is>
      </c>
      <c r="H58" t="inlineStr">
        <is>
          <t>ESTIMATE</t>
        </is>
      </c>
      <c r="I58" s="4" t="inlineStr">
        <is>
          <t>Range £3–£12 at scale. The Ekiti proposal's £300/woman/year is UNVALIDATED and far above comparables (FACTS_BASE A5); NOT used.</t>
        </is>
      </c>
    </row>
    <row r="59">
      <c r="A59" s="4" t="inlineStr">
        <is>
          <t>af_cost</t>
        </is>
      </c>
      <c r="B59" t="inlineStr">
        <is>
          <t>Africa hosting/SMS/support cost per woman per year</t>
        </is>
      </c>
      <c r="C59" s="17" t="n">
        <v>2</v>
      </c>
      <c r="D59" s="17" t="n">
        <v>2.5</v>
      </c>
      <c r="E59" s="17" t="n">
        <v>3</v>
      </c>
      <c r="F59" s="18">
        <f>INDEX($C59:$E59,1,$C$4)</f>
        <v/>
      </c>
      <c r="G59" t="inlineStr">
        <is>
          <t>GBP</t>
        </is>
      </c>
      <c r="H59" t="inlineStr">
        <is>
          <t>ESTIMATE</t>
        </is>
      </c>
      <c r="I59" s="4" t="inlineStr">
        <is>
          <t>SMS pass-through excluded (billed at cost).</t>
        </is>
      </c>
    </row>
    <row r="60">
      <c r="A60" s="9" t="inlineStr">
        <is>
          <t>Payroll rates (UK 2026/27)</t>
        </is>
      </c>
      <c r="B60" s="10" t="n"/>
      <c r="C60" s="10" t="n"/>
      <c r="D60" s="10" t="n"/>
      <c r="E60" s="10" t="n"/>
      <c r="F60" s="10" t="n"/>
      <c r="G60" s="10" t="n"/>
      <c r="H60" s="10" t="n"/>
      <c r="I60" s="10" t="n"/>
    </row>
    <row r="61">
      <c r="A61" s="4" t="inlineStr">
        <is>
          <t>ni_rate</t>
        </is>
      </c>
      <c r="B61" t="inlineStr">
        <is>
          <t>Employer NI rate (Class 1 secondary)</t>
        </is>
      </c>
      <c r="C61" s="15" t="n">
        <v>0.15</v>
      </c>
      <c r="D61" s="15" t="n">
        <v>0.15</v>
      </c>
      <c r="E61" s="15" t="n">
        <v>0.15</v>
      </c>
      <c r="F61" s="16">
        <f>INDEX($C61:$E61,1,$C$4)</f>
        <v/>
      </c>
      <c r="G61" t="inlineStr">
        <is>
          <t>%</t>
        </is>
      </c>
      <c r="H61" t="inlineStr">
        <is>
          <t>KNOWN</t>
        </is>
      </c>
      <c r="I61" s="4" t="inlineStr">
        <is>
          <t>15% for 2026/27. Source: https://www.moorepay.co.uk/payroll-hr-rates/tax-and-national-insurance-changes/ ; TO VALIDATE against gov.uk rates page before use.</t>
        </is>
      </c>
    </row>
    <row r="62">
      <c r="A62" s="4" t="inlineStr">
        <is>
          <t>ni_threshold</t>
        </is>
      </c>
      <c r="B62" t="inlineStr">
        <is>
          <t>Employer NI secondary threshold (annual)</t>
        </is>
      </c>
      <c r="C62" s="11" t="n">
        <v>5000</v>
      </c>
      <c r="D62" s="11" t="n">
        <v>5000</v>
      </c>
      <c r="E62" s="11" t="n">
        <v>5000</v>
      </c>
      <c r="F62" s="12">
        <f>INDEX($C62:$E62,1,$C$4)</f>
        <v/>
      </c>
      <c r="G62" t="inlineStr">
        <is>
          <t>GBP</t>
        </is>
      </c>
      <c r="H62" t="inlineStr">
        <is>
          <t>KNOWN</t>
        </is>
      </c>
      <c r="I62" s="4" t="inlineStr">
        <is>
          <t>£5,000 for 2026/27 (same source).</t>
        </is>
      </c>
    </row>
    <row r="63">
      <c r="A63" s="4" t="inlineStr">
        <is>
          <t>emp_allowance</t>
        </is>
      </c>
      <c r="B63" t="inlineStr">
        <is>
          <t>Employment Allowance (annual; applied once headcount ≥ 2)</t>
        </is>
      </c>
      <c r="C63" s="11" t="n">
        <v>10500</v>
      </c>
      <c r="D63" s="11" t="n">
        <v>10500</v>
      </c>
      <c r="E63" s="11" t="n">
        <v>10500</v>
      </c>
      <c r="F63" s="12">
        <f>INDEX($C63:$E63,1,$C$4)</f>
        <v/>
      </c>
      <c r="G63" t="inlineStr">
        <is>
          <t>GBP</t>
        </is>
      </c>
      <c r="H63" t="inlineStr">
        <is>
          <t>KNOWN</t>
        </is>
      </c>
      <c r="I63" s="4" t="inlineStr">
        <is>
          <t>£10,500; a company whose only employee paid above the threshold is a sole director cannot claim — hence applied only from 2+ employees. TO VALIDATE eligibility.</t>
        </is>
      </c>
    </row>
    <row r="64">
      <c r="A64" s="4" t="inlineStr">
        <is>
          <t>pen_rate</t>
        </is>
      </c>
      <c r="B64" t="inlineStr">
        <is>
          <t>Employer auto-enrolment pension minimum</t>
        </is>
      </c>
      <c r="C64" s="15" t="n">
        <v>0.03</v>
      </c>
      <c r="D64" s="15" t="n">
        <v>0.03</v>
      </c>
      <c r="E64" s="15" t="n">
        <v>0.03</v>
      </c>
      <c r="F64" s="16">
        <f>INDEX($C64:$E64,1,$C$4)</f>
        <v/>
      </c>
      <c r="G64" t="inlineStr">
        <is>
          <t>%</t>
        </is>
      </c>
      <c r="H64" t="inlineStr">
        <is>
          <t>KNOWN</t>
        </is>
      </c>
      <c r="I64" s="4" t="inlineStr">
        <is>
          <t>3% of qualifying earnings. Source: https://www.moorepay.co.uk/payroll-hr-rates/automatic-enrolment/</t>
        </is>
      </c>
    </row>
    <row r="65">
      <c r="A65" s="4" t="inlineStr">
        <is>
          <t>pen_lower</t>
        </is>
      </c>
      <c r="B65" t="inlineStr">
        <is>
          <t>Qualifying earnings lower limit (annual)</t>
        </is>
      </c>
      <c r="C65" s="11" t="n">
        <v>6240</v>
      </c>
      <c r="D65" s="11" t="n">
        <v>6240</v>
      </c>
      <c r="E65" s="11" t="n">
        <v>6240</v>
      </c>
      <c r="F65" s="12">
        <f>INDEX($C65:$E65,1,$C$4)</f>
        <v/>
      </c>
      <c r="G65" t="inlineStr">
        <is>
          <t>GBP</t>
        </is>
      </c>
      <c r="H65" t="inlineStr">
        <is>
          <t>KNOWN</t>
        </is>
      </c>
      <c r="I65" s="4" t="inlineStr">
        <is>
          <t>2026/27 band £6,240–£50,270 (same source).</t>
        </is>
      </c>
    </row>
    <row r="66">
      <c r="A66" s="4" t="inlineStr">
        <is>
          <t>pen_upper</t>
        </is>
      </c>
      <c r="B66" t="inlineStr">
        <is>
          <t>Qualifying earnings upper limit (annual)</t>
        </is>
      </c>
      <c r="C66" s="11" t="n">
        <v>50270</v>
      </c>
      <c r="D66" s="11" t="n">
        <v>50270</v>
      </c>
      <c r="E66" s="11" t="n">
        <v>50270</v>
      </c>
      <c r="F66" s="12">
        <f>INDEX($C66:$E66,1,$C$4)</f>
        <v/>
      </c>
      <c r="G66" t="inlineStr">
        <is>
          <t>GBP</t>
        </is>
      </c>
      <c r="H66" t="inlineStr">
        <is>
          <t>KNOWN</t>
        </is>
      </c>
      <c r="I66" s="4" t="inlineStr"/>
    </row>
    <row r="67">
      <c r="A67" s="9" t="inlineStr">
        <is>
          <t>Founder and hires (start month; 99 = not hired within model)</t>
        </is>
      </c>
      <c r="B67" s="10" t="n"/>
      <c r="C67" s="10" t="n"/>
      <c r="D67" s="10" t="n"/>
      <c r="E67" s="10" t="n"/>
      <c r="F67" s="10" t="n"/>
      <c r="G67" s="10" t="n"/>
      <c r="H67" s="10" t="n"/>
      <c r="I67" s="10" t="n"/>
    </row>
    <row r="68">
      <c r="A68" s="4" t="inlineStr">
        <is>
          <t>founder_start</t>
        </is>
      </c>
      <c r="B68" t="inlineStr">
        <is>
          <t>Founder salary — start month</t>
        </is>
      </c>
      <c r="C68" s="13" t="n">
        <v>4</v>
      </c>
      <c r="D68" s="13" t="n">
        <v>3</v>
      </c>
      <c r="E68" s="13" t="n">
        <v>3</v>
      </c>
      <c r="F68" s="14">
        <f>INDEX($C68:$E68,1,$C$4)</f>
        <v/>
      </c>
      <c r="G68" t="inlineStr">
        <is>
          <t>month</t>
        </is>
      </c>
      <c r="H68" t="inlineStr">
        <is>
          <t>ASSUMPTION</t>
        </is>
      </c>
      <c r="I68" s="4" t="inlineStr">
        <is>
          <t>Founder draws nothing until the first invoices (month 2) are collected (month 3, one-month lag). Conservative waits one more month. (Revised 8 Sept 2026 from 4/2/1.)</t>
        </is>
      </c>
    </row>
    <row r="69">
      <c r="A69" s="4" t="inlineStr">
        <is>
          <t>founder_salary</t>
        </is>
      </c>
      <c r="B69" t="inlineStr">
        <is>
          <t>Founder salary (annual)</t>
        </is>
      </c>
      <c r="C69" s="11" t="n">
        <v>36000</v>
      </c>
      <c r="D69" s="11" t="n">
        <v>48000</v>
      </c>
      <c r="E69" s="11" t="n">
        <v>60000</v>
      </c>
      <c r="F69" s="12">
        <f>INDEX($C69:$E69,1,$C$4)</f>
        <v/>
      </c>
      <c r="G69" t="inlineStr">
        <is>
          <t>GBP/year</t>
        </is>
      </c>
      <c r="H69" t="inlineStr">
        <is>
          <t>ASSUMPTION</t>
        </is>
      </c>
      <c r="I69" s="4" t="inlineStr">
        <is>
          <t>Below market; opportunity cost £120k (01_BUSINESS_MODEL §3).</t>
        </is>
      </c>
    </row>
    <row r="70">
      <c r="A70" s="4" t="inlineStr">
        <is>
          <t>product_lead_start</t>
        </is>
      </c>
      <c r="B70" t="inlineStr">
        <is>
          <t>Product lead / CTO — start month</t>
        </is>
      </c>
      <c r="C70" s="13" t="n">
        <v>13</v>
      </c>
      <c r="D70" s="13" t="n">
        <v>7</v>
      </c>
      <c r="E70" s="13" t="n">
        <v>4</v>
      </c>
      <c r="F70" s="14">
        <f>INDEX($C70:$E70,1,$C$4)</f>
        <v/>
      </c>
      <c r="G70" t="inlineStr">
        <is>
          <t>month</t>
        </is>
      </c>
      <c r="H70" t="inlineStr">
        <is>
          <t>ASSUMPTION</t>
        </is>
      </c>
      <c r="I70" s="4" t="inlineStr"/>
    </row>
    <row r="71">
      <c r="A71" s="4" t="inlineStr">
        <is>
          <t>product_lead_salary</t>
        </is>
      </c>
      <c r="B71" t="inlineStr">
        <is>
          <t>Product lead / CTO — annual salary</t>
        </is>
      </c>
      <c r="C71" s="11" t="n">
        <v>60000</v>
      </c>
      <c r="D71" s="11" t="n">
        <v>65000</v>
      </c>
      <c r="E71" s="11" t="n">
        <v>70000</v>
      </c>
      <c r="F71" s="12">
        <f>INDEX($C71:$E71,1,$C$4)</f>
        <v/>
      </c>
      <c r="G71" t="inlineStr">
        <is>
          <t>GBP/year</t>
        </is>
      </c>
      <c r="H71" t="inlineStr">
        <is>
          <t>ESTIMATE</t>
        </is>
      </c>
      <c r="I71" s="4" t="inlineStr"/>
    </row>
    <row r="72">
      <c r="A72" s="4" t="inlineStr">
        <is>
          <t>dev1_start</t>
        </is>
      </c>
      <c r="B72" t="inlineStr">
        <is>
          <t>Developer 1 — start month</t>
        </is>
      </c>
      <c r="C72" s="13" t="n">
        <v>99</v>
      </c>
      <c r="D72" s="13" t="n">
        <v>10</v>
      </c>
      <c r="E72" s="13" t="n">
        <v>6</v>
      </c>
      <c r="F72" s="14">
        <f>INDEX($C72:$E72,1,$C$4)</f>
        <v/>
      </c>
      <c r="G72" t="inlineStr">
        <is>
          <t>month</t>
        </is>
      </c>
      <c r="H72" t="inlineStr">
        <is>
          <t>ASSUMPTION</t>
        </is>
      </c>
      <c r="I72" s="4" t="inlineStr">
        <is>
          <t>Conservative: not hired — a £250k pre-seed cannot carry a second technical salary (cash went negative at month 31 when it was); contractors instead. (Revised 8 Sept 2026 from month 19.)</t>
        </is>
      </c>
    </row>
    <row r="73">
      <c r="A73" s="4" t="inlineStr">
        <is>
          <t>dev1_salary</t>
        </is>
      </c>
      <c r="B73" t="inlineStr">
        <is>
          <t>Developer 1 — annual salary</t>
        </is>
      </c>
      <c r="C73" s="11" t="n">
        <v>50000</v>
      </c>
      <c r="D73" s="11" t="n">
        <v>55000</v>
      </c>
      <c r="E73" s="11" t="n">
        <v>60000</v>
      </c>
      <c r="F73" s="12">
        <f>INDEX($C73:$E73,1,$C$4)</f>
        <v/>
      </c>
      <c r="G73" t="inlineStr">
        <is>
          <t>GBP/year</t>
        </is>
      </c>
      <c r="H73" t="inlineStr">
        <is>
          <t>ESTIMATE</t>
        </is>
      </c>
      <c r="I73" s="4" t="inlineStr"/>
    </row>
    <row r="74">
      <c r="A74" s="4" t="inlineStr">
        <is>
          <t>dev2_start</t>
        </is>
      </c>
      <c r="B74" t="inlineStr">
        <is>
          <t>Developer 2 — start month</t>
        </is>
      </c>
      <c r="C74" s="13" t="n">
        <v>99</v>
      </c>
      <c r="D74" s="13" t="n">
        <v>22</v>
      </c>
      <c r="E74" s="13" t="n">
        <v>12</v>
      </c>
      <c r="F74" s="14">
        <f>INDEX($C74:$E74,1,$C$4)</f>
        <v/>
      </c>
      <c r="G74" t="inlineStr">
        <is>
          <t>month</t>
        </is>
      </c>
      <c r="H74" t="inlineStr">
        <is>
          <t>ASSUMPTION</t>
        </is>
      </c>
      <c r="I74" s="4" t="inlineStr"/>
    </row>
    <row r="75">
      <c r="A75" s="4" t="inlineStr">
        <is>
          <t>dev2_salary</t>
        </is>
      </c>
      <c r="B75" t="inlineStr">
        <is>
          <t>Developer 2 — annual salary</t>
        </is>
      </c>
      <c r="C75" s="11" t="n">
        <v>50000</v>
      </c>
      <c r="D75" s="11" t="n">
        <v>55000</v>
      </c>
      <c r="E75" s="11" t="n">
        <v>60000</v>
      </c>
      <c r="F75" s="12">
        <f>INDEX($C75:$E75,1,$C$4)</f>
        <v/>
      </c>
      <c r="G75" t="inlineStr">
        <is>
          <t>GBP/year</t>
        </is>
      </c>
      <c r="H75" t="inlineStr">
        <is>
          <t>ESTIMATE</t>
        </is>
      </c>
      <c r="I75" s="4" t="inlineStr"/>
    </row>
    <row r="76">
      <c r="A76" s="4" t="inlineStr">
        <is>
          <t>dev3_start</t>
        </is>
      </c>
      <c r="B76" t="inlineStr">
        <is>
          <t>Developer 3 — start month</t>
        </is>
      </c>
      <c r="C76" s="13" t="n">
        <v>99</v>
      </c>
      <c r="D76" s="13" t="n">
        <v>99</v>
      </c>
      <c r="E76" s="13" t="n">
        <v>24</v>
      </c>
      <c r="F76" s="14">
        <f>INDEX($C76:$E76,1,$C$4)</f>
        <v/>
      </c>
      <c r="G76" t="inlineStr">
        <is>
          <t>month</t>
        </is>
      </c>
      <c r="H76" t="inlineStr">
        <is>
          <t>ASSUMPTION</t>
        </is>
      </c>
      <c r="I76" s="4" t="inlineStr"/>
    </row>
    <row r="77">
      <c r="A77" s="4" t="inlineStr">
        <is>
          <t>dev3_salary</t>
        </is>
      </c>
      <c r="B77" t="inlineStr">
        <is>
          <t>Developer 3 — annual salary</t>
        </is>
      </c>
      <c r="C77" s="11" t="n">
        <v>55000</v>
      </c>
      <c r="D77" s="11" t="n">
        <v>55000</v>
      </c>
      <c r="E77" s="11" t="n">
        <v>60000</v>
      </c>
      <c r="F77" s="12">
        <f>INDEX($C77:$E77,1,$C$4)</f>
        <v/>
      </c>
      <c r="G77" t="inlineStr">
        <is>
          <t>GBP/year</t>
        </is>
      </c>
      <c r="H77" t="inlineStr">
        <is>
          <t>ESTIMATE</t>
        </is>
      </c>
      <c r="I77" s="4" t="inlineStr"/>
    </row>
    <row r="78">
      <c r="A78" s="4" t="inlineStr">
        <is>
          <t>bd_lead_start</t>
        </is>
      </c>
      <c r="B78" t="inlineStr">
        <is>
          <t>BD / sales lead — start month</t>
        </is>
      </c>
      <c r="C78" s="13" t="n">
        <v>99</v>
      </c>
      <c r="D78" s="13" t="n">
        <v>16</v>
      </c>
      <c r="E78" s="13" t="n">
        <v>10</v>
      </c>
      <c r="F78" s="14">
        <f>INDEX($C78:$E78,1,$C$4)</f>
        <v/>
      </c>
      <c r="G78" t="inlineStr">
        <is>
          <t>month</t>
        </is>
      </c>
      <c r="H78" t="inlineStr">
        <is>
          <t>ASSUMPTION</t>
        </is>
      </c>
      <c r="I78" s="4" t="inlineStr"/>
    </row>
    <row r="79">
      <c r="A79" s="4" t="inlineStr">
        <is>
          <t>bd_lead_salary</t>
        </is>
      </c>
      <c r="B79" t="inlineStr">
        <is>
          <t>BD / sales lead — annual salary</t>
        </is>
      </c>
      <c r="C79" s="11" t="n">
        <v>45000</v>
      </c>
      <c r="D79" s="11" t="n">
        <v>50000</v>
      </c>
      <c r="E79" s="11" t="n">
        <v>55000</v>
      </c>
      <c r="F79" s="12">
        <f>INDEX($C79:$E79,1,$C$4)</f>
        <v/>
      </c>
      <c r="G79" t="inlineStr">
        <is>
          <t>GBP/year</t>
        </is>
      </c>
      <c r="H79" t="inlineStr">
        <is>
          <t>ESTIMATE</t>
        </is>
      </c>
      <c r="I79" s="4" t="inlineStr"/>
    </row>
    <row r="80">
      <c r="A80" s="4" t="inlineStr">
        <is>
          <t>prog_mgr_start</t>
        </is>
      </c>
      <c r="B80" t="inlineStr">
        <is>
          <t>Programme manager (Nigeria) — start month</t>
        </is>
      </c>
      <c r="C80" s="13" t="n">
        <v>99</v>
      </c>
      <c r="D80" s="13" t="n">
        <v>20</v>
      </c>
      <c r="E80" s="13" t="n">
        <v>14</v>
      </c>
      <c r="F80" s="14">
        <f>INDEX($C80:$E80,1,$C$4)</f>
        <v/>
      </c>
      <c r="G80" t="inlineStr">
        <is>
          <t>month</t>
        </is>
      </c>
      <c r="H80" t="inlineStr">
        <is>
          <t>ASSUMPTION</t>
        </is>
      </c>
      <c r="I80" s="4" t="inlineStr">
        <is>
          <t>Nigeria-based role modelled with UK on-costs as a conservative simplification; local employment/contractor route TO VALIDATE.</t>
        </is>
      </c>
    </row>
    <row r="81">
      <c r="A81" s="4" t="inlineStr">
        <is>
          <t>prog_mgr_salary</t>
        </is>
      </c>
      <c r="B81" t="inlineStr">
        <is>
          <t>Programme manager (Nigeria) — annual salary</t>
        </is>
      </c>
      <c r="C81" s="11" t="n">
        <v>25000</v>
      </c>
      <c r="D81" s="11" t="n">
        <v>30000</v>
      </c>
      <c r="E81" s="11" t="n">
        <v>30000</v>
      </c>
      <c r="F81" s="12">
        <f>INDEX($C81:$E81,1,$C$4)</f>
        <v/>
      </c>
      <c r="G81" t="inlineStr">
        <is>
          <t>GBP/year</t>
        </is>
      </c>
      <c r="H81" t="inlineStr">
        <is>
          <t>ESTIMATE</t>
        </is>
      </c>
      <c r="I81" s="4" t="inlineStr"/>
    </row>
    <row r="82">
      <c r="A82" s="4" t="inlineStr">
        <is>
          <t>clinical_lead_start</t>
        </is>
      </c>
      <c r="B82" t="inlineStr">
        <is>
          <t>Clinical lead (midwife/obstetrician) — start month</t>
        </is>
      </c>
      <c r="C82" s="13" t="n">
        <v>99</v>
      </c>
      <c r="D82" s="13" t="n">
        <v>25</v>
      </c>
      <c r="E82" s="13" t="n">
        <v>16</v>
      </c>
      <c r="F82" s="14">
        <f>INDEX($C82:$E82,1,$C$4)</f>
        <v/>
      </c>
      <c r="G82" t="inlineStr">
        <is>
          <t>month</t>
        </is>
      </c>
      <c r="H82" t="inlineStr">
        <is>
          <t>ASSUMPTION</t>
        </is>
      </c>
      <c r="I82" s="4" t="inlineStr"/>
    </row>
    <row r="83">
      <c r="A83" s="4" t="inlineStr">
        <is>
          <t>clinical_lead_salary</t>
        </is>
      </c>
      <c r="B83" t="inlineStr">
        <is>
          <t>Clinical lead (midwife/obstetrician) — annual salary</t>
        </is>
      </c>
      <c r="C83" s="11" t="n">
        <v>70000</v>
      </c>
      <c r="D83" s="11" t="n">
        <v>70000</v>
      </c>
      <c r="E83" s="11" t="n">
        <v>75000</v>
      </c>
      <c r="F83" s="12">
        <f>INDEX($C83:$E83,1,$C$4)</f>
        <v/>
      </c>
      <c r="G83" t="inlineStr">
        <is>
          <t>GBP/year</t>
        </is>
      </c>
      <c r="H83" t="inlineStr">
        <is>
          <t>ESTIMATE</t>
        </is>
      </c>
      <c r="I83" s="4" t="inlineStr"/>
    </row>
    <row r="84">
      <c r="A84" s="4" t="inlineStr">
        <is>
          <t>content_lead_start</t>
        </is>
      </c>
      <c r="B84" t="inlineStr">
        <is>
          <t>E-learning content lead — start month</t>
        </is>
      </c>
      <c r="C84" s="13" t="n">
        <v>99</v>
      </c>
      <c r="D84" s="13" t="n">
        <v>99</v>
      </c>
      <c r="E84" s="13" t="n">
        <v>18</v>
      </c>
      <c r="F84" s="14">
        <f>INDEX($C84:$E84,1,$C$4)</f>
        <v/>
      </c>
      <c r="G84" t="inlineStr">
        <is>
          <t>month</t>
        </is>
      </c>
      <c r="H84" t="inlineStr">
        <is>
          <t>ASSUMPTION</t>
        </is>
      </c>
      <c r="I84" s="4" t="inlineStr"/>
    </row>
    <row r="85">
      <c r="A85" s="4" t="inlineStr">
        <is>
          <t>content_lead_salary</t>
        </is>
      </c>
      <c r="B85" t="inlineStr">
        <is>
          <t>E-learning content lead — annual salary</t>
        </is>
      </c>
      <c r="C85" s="11" t="n">
        <v>40000</v>
      </c>
      <c r="D85" s="11" t="n">
        <v>40000</v>
      </c>
      <c r="E85" s="11" t="n">
        <v>45000</v>
      </c>
      <c r="F85" s="12">
        <f>INDEX($C85:$E85,1,$C$4)</f>
        <v/>
      </c>
      <c r="G85" t="inlineStr">
        <is>
          <t>GBP/year</t>
        </is>
      </c>
      <c r="H85" t="inlineStr">
        <is>
          <t>ESTIMATE</t>
        </is>
      </c>
      <c r="I85" s="4" t="inlineStr"/>
    </row>
    <row r="86">
      <c r="A86" s="4" t="inlineStr">
        <is>
          <t>consultant_start</t>
        </is>
      </c>
      <c r="B86" t="inlineStr">
        <is>
          <t>Senior consultant (billable) — start month</t>
        </is>
      </c>
      <c r="C86" s="13" t="n">
        <v>99</v>
      </c>
      <c r="D86" s="13" t="n">
        <v>19</v>
      </c>
      <c r="E86" s="13" t="n">
        <v>10</v>
      </c>
      <c r="F86" s="14">
        <f>INDEX($C86:$E86,1,$C$4)</f>
        <v/>
      </c>
      <c r="G86" t="inlineStr">
        <is>
          <t>month</t>
        </is>
      </c>
      <c r="H86" t="inlineStr">
        <is>
          <t>ASSUMPTION</t>
        </is>
      </c>
      <c r="I86" s="4" t="inlineStr">
        <is>
          <t>Adds billable capacity (see Advisory block).</t>
        </is>
      </c>
    </row>
    <row r="87">
      <c r="A87" s="4" t="inlineStr">
        <is>
          <t>consultant_salary</t>
        </is>
      </c>
      <c r="B87" t="inlineStr">
        <is>
          <t>Senior consultant (billable) — annual salary</t>
        </is>
      </c>
      <c r="C87" s="11" t="n">
        <v>55000</v>
      </c>
      <c r="D87" s="11" t="n">
        <v>55000</v>
      </c>
      <c r="E87" s="11" t="n">
        <v>60000</v>
      </c>
      <c r="F87" s="12">
        <f>INDEX($C87:$E87,1,$C$4)</f>
        <v/>
      </c>
      <c r="G87" t="inlineStr">
        <is>
          <t>GBP/year</t>
        </is>
      </c>
      <c r="H87" t="inlineStr">
        <is>
          <t>ESTIMATE</t>
        </is>
      </c>
      <c r="I87" s="4" t="inlineStr"/>
    </row>
    <row r="88">
      <c r="A88" s="9" t="inlineStr">
        <is>
          <t>Other operating costs (GBP per month, by year)</t>
        </is>
      </c>
      <c r="B88" s="10" t="n"/>
      <c r="C88" s="10" t="n"/>
      <c r="D88" s="10" t="n"/>
      <c r="E88" s="10" t="n"/>
      <c r="F88" s="10" t="n"/>
      <c r="G88" s="10" t="n"/>
      <c r="H88" s="10" t="n"/>
      <c r="I88" s="10" t="n"/>
    </row>
    <row r="89">
      <c r="A89" s="4" t="inlineStr">
        <is>
          <t>contractors_y1</t>
        </is>
      </c>
      <c r="B89" t="inlineStr">
        <is>
          <t>Contractors (dev, design, implementation, fractional clinical safety officer) — Y1</t>
        </is>
      </c>
      <c r="C89" s="11" t="n">
        <v>1500</v>
      </c>
      <c r="D89" s="11" t="n">
        <v>2500</v>
      </c>
      <c r="E89" s="11" t="n">
        <v>3000</v>
      </c>
      <c r="F89" s="12">
        <f>INDEX($C89:$E89,1,$C$4)</f>
        <v/>
      </c>
      <c r="G89" t="inlineStr">
        <is>
          <t>GBP/month</t>
        </is>
      </c>
      <c r="H89" t="inlineStr">
        <is>
          <t>ESTIMATE</t>
        </is>
      </c>
      <c r="I89" s="4" t="inlineStr"/>
    </row>
    <row r="90">
      <c r="A90" s="4" t="inlineStr">
        <is>
          <t>contractors_y2</t>
        </is>
      </c>
      <c r="B90" t="inlineStr">
        <is>
          <t>Contractors (dev, design, implementation, fractional clinical safety officer) — Y2</t>
        </is>
      </c>
      <c r="C90" s="11" t="n">
        <v>4000</v>
      </c>
      <c r="D90" s="11" t="n">
        <v>10000</v>
      </c>
      <c r="E90" s="11" t="n">
        <v>20000</v>
      </c>
      <c r="F90" s="12">
        <f>INDEX($C90:$E90,1,$C$4)</f>
        <v/>
      </c>
      <c r="G90" t="inlineStr">
        <is>
          <t>GBP/month</t>
        </is>
      </c>
      <c r="H90" t="inlineStr">
        <is>
          <t>ESTIMATE</t>
        </is>
      </c>
      <c r="I90" s="4" t="inlineStr"/>
    </row>
    <row r="91">
      <c r="A91" s="4" t="inlineStr">
        <is>
          <t>contractors_y3</t>
        </is>
      </c>
      <c r="B91" t="inlineStr">
        <is>
          <t>Contractors (dev, design, implementation, fractional clinical safety officer) — Y3</t>
        </is>
      </c>
      <c r="C91" s="11" t="n">
        <v>8000</v>
      </c>
      <c r="D91" s="11" t="n">
        <v>30000</v>
      </c>
      <c r="E91" s="11" t="n">
        <v>45000</v>
      </c>
      <c r="F91" s="12">
        <f>INDEX($C91:$E91,1,$C$4)</f>
        <v/>
      </c>
      <c r="G91" t="inlineStr">
        <is>
          <t>GBP/month</t>
        </is>
      </c>
      <c r="H91" t="inlineStr">
        <is>
          <t>ESTIMATE</t>
        </is>
      </c>
      <c r="I91" s="4" t="inlineStr"/>
    </row>
    <row r="92">
      <c r="A92" s="4" t="inlineStr">
        <is>
          <t>technology_y1</t>
        </is>
      </c>
      <c r="B92" t="inlineStr">
        <is>
          <t>Technology (cloud, hosting, messaging, tooling) — Y1</t>
        </is>
      </c>
      <c r="C92" s="11" t="n">
        <v>300</v>
      </c>
      <c r="D92" s="11" t="n">
        <v>800</v>
      </c>
      <c r="E92" s="11" t="n">
        <v>1500</v>
      </c>
      <c r="F92" s="12">
        <f>INDEX($C92:$E92,1,$C$4)</f>
        <v/>
      </c>
      <c r="G92" t="inlineStr">
        <is>
          <t>GBP/month</t>
        </is>
      </c>
      <c r="H92" t="inlineStr">
        <is>
          <t>ESTIMATE</t>
        </is>
      </c>
      <c r="I92" s="4" t="inlineStr"/>
    </row>
    <row r="93">
      <c r="A93" s="4" t="inlineStr">
        <is>
          <t>technology_y2</t>
        </is>
      </c>
      <c r="B93" t="inlineStr">
        <is>
          <t>Technology (cloud, hosting, messaging, tooling) — Y2</t>
        </is>
      </c>
      <c r="C93" s="11" t="n">
        <v>600</v>
      </c>
      <c r="D93" s="11" t="n">
        <v>3000</v>
      </c>
      <c r="E93" s="11" t="n">
        <v>6000</v>
      </c>
      <c r="F93" s="12">
        <f>INDEX($C93:$E93,1,$C$4)</f>
        <v/>
      </c>
      <c r="G93" t="inlineStr">
        <is>
          <t>GBP/month</t>
        </is>
      </c>
      <c r="H93" t="inlineStr">
        <is>
          <t>ESTIMATE</t>
        </is>
      </c>
      <c r="I93" s="4" t="inlineStr"/>
    </row>
    <row r="94">
      <c r="A94" s="4" t="inlineStr">
        <is>
          <t>technology_y3</t>
        </is>
      </c>
      <c r="B94" t="inlineStr">
        <is>
          <t>Technology (cloud, hosting, messaging, tooling) — Y3</t>
        </is>
      </c>
      <c r="C94" s="11" t="n">
        <v>1500</v>
      </c>
      <c r="D94" s="11" t="n">
        <v>10000</v>
      </c>
      <c r="E94" s="11" t="n">
        <v>20000</v>
      </c>
      <c r="F94" s="12">
        <f>INDEX($C94:$E94,1,$C$4)</f>
        <v/>
      </c>
      <c r="G94" t="inlineStr">
        <is>
          <t>GBP/month</t>
        </is>
      </c>
      <c r="H94" t="inlineStr">
        <is>
          <t>ESTIMATE</t>
        </is>
      </c>
      <c r="I94" s="4" t="inlineStr"/>
    </row>
    <row r="95">
      <c r="A95" s="4" t="inlineStr">
        <is>
          <t>marketing_y1</t>
        </is>
      </c>
      <c r="B95" t="inlineStr">
        <is>
          <t>Marketing (content, events, paid tests, demand generation) — Y1</t>
        </is>
      </c>
      <c r="C95" s="11" t="n">
        <v>300</v>
      </c>
      <c r="D95" s="11" t="n">
        <v>600</v>
      </c>
      <c r="E95" s="11" t="n">
        <v>1000</v>
      </c>
      <c r="F95" s="12">
        <f>INDEX($C95:$E95,1,$C$4)</f>
        <v/>
      </c>
      <c r="G95" t="inlineStr">
        <is>
          <t>GBP/month</t>
        </is>
      </c>
      <c r="H95" t="inlineStr">
        <is>
          <t>ESTIMATE</t>
        </is>
      </c>
      <c r="I95" s="4" t="inlineStr"/>
    </row>
    <row r="96">
      <c r="A96" s="4" t="inlineStr">
        <is>
          <t>marketing_y2</t>
        </is>
      </c>
      <c r="B96" t="inlineStr">
        <is>
          <t>Marketing (content, events, paid tests, demand generation) — Y2</t>
        </is>
      </c>
      <c r="C96" s="11" t="n">
        <v>750</v>
      </c>
      <c r="D96" s="11" t="n">
        <v>4000</v>
      </c>
      <c r="E96" s="11" t="n">
        <v>12000</v>
      </c>
      <c r="F96" s="12">
        <f>INDEX($C96:$E96,1,$C$4)</f>
        <v/>
      </c>
      <c r="G96" t="inlineStr">
        <is>
          <t>GBP/month</t>
        </is>
      </c>
      <c r="H96" t="inlineStr">
        <is>
          <t>ESTIMATE</t>
        </is>
      </c>
      <c r="I96" s="4" t="inlineStr"/>
    </row>
    <row r="97">
      <c r="A97" s="4" t="inlineStr">
        <is>
          <t>marketing_y3</t>
        </is>
      </c>
      <c r="B97" t="inlineStr">
        <is>
          <t>Marketing (content, events, paid tests, demand generation) — Y3</t>
        </is>
      </c>
      <c r="C97" s="11" t="n">
        <v>2000</v>
      </c>
      <c r="D97" s="11" t="n">
        <v>15000</v>
      </c>
      <c r="E97" s="11" t="n">
        <v>35000</v>
      </c>
      <c r="F97" s="12">
        <f>INDEX($C97:$E97,1,$C$4)</f>
        <v/>
      </c>
      <c r="G97" t="inlineStr">
        <is>
          <t>GBP/month</t>
        </is>
      </c>
      <c r="H97" t="inlineStr">
        <is>
          <t>ESTIMATE</t>
        </is>
      </c>
      <c r="I97" s="4" t="inlineStr"/>
    </row>
    <row r="98">
      <c r="A98" s="4" t="inlineStr">
        <is>
          <t>legal_y1</t>
        </is>
      </c>
      <c r="B98" t="inlineStr">
        <is>
          <t>Legal (ongoing contracts, IP, employment) — Y1</t>
        </is>
      </c>
      <c r="C98" s="11" t="n">
        <v>300</v>
      </c>
      <c r="D98" s="11" t="n">
        <v>400</v>
      </c>
      <c r="E98" s="11" t="n">
        <v>500</v>
      </c>
      <c r="F98" s="12">
        <f>INDEX($C98:$E98,1,$C$4)</f>
        <v/>
      </c>
      <c r="G98" t="inlineStr">
        <is>
          <t>GBP/month</t>
        </is>
      </c>
      <c r="H98" t="inlineStr">
        <is>
          <t>ESTIMATE</t>
        </is>
      </c>
      <c r="I98" s="4" t="inlineStr"/>
    </row>
    <row r="99">
      <c r="A99" s="4" t="inlineStr">
        <is>
          <t>legal_y2</t>
        </is>
      </c>
      <c r="B99" t="inlineStr">
        <is>
          <t>Legal (ongoing contracts, IP, employment) — Y2</t>
        </is>
      </c>
      <c r="C99" s="11" t="n">
        <v>500</v>
      </c>
      <c r="D99" s="11" t="n">
        <v>800</v>
      </c>
      <c r="E99" s="11" t="n">
        <v>1000</v>
      </c>
      <c r="F99" s="12">
        <f>INDEX($C99:$E99,1,$C$4)</f>
        <v/>
      </c>
      <c r="G99" t="inlineStr">
        <is>
          <t>GBP/month</t>
        </is>
      </c>
      <c r="H99" t="inlineStr">
        <is>
          <t>ESTIMATE</t>
        </is>
      </c>
      <c r="I99" s="4" t="inlineStr"/>
    </row>
    <row r="100">
      <c r="A100" s="4" t="inlineStr">
        <is>
          <t>legal_y3</t>
        </is>
      </c>
      <c r="B100" t="inlineStr">
        <is>
          <t>Legal (ongoing contracts, IP, employment) — Y3</t>
        </is>
      </c>
      <c r="C100" s="11" t="n">
        <v>1000</v>
      </c>
      <c r="D100" s="11" t="n">
        <v>1500</v>
      </c>
      <c r="E100" s="11" t="n">
        <v>2000</v>
      </c>
      <c r="F100" s="12">
        <f>INDEX($C100:$E100,1,$C$4)</f>
        <v/>
      </c>
      <c r="G100" t="inlineStr">
        <is>
          <t>GBP/month</t>
        </is>
      </c>
      <c r="H100" t="inlineStr">
        <is>
          <t>ESTIMATE</t>
        </is>
      </c>
      <c r="I100" s="4" t="inlineStr"/>
    </row>
    <row r="101">
      <c r="A101" s="4" t="inlineStr">
        <is>
          <t>compliance_y1</t>
        </is>
      </c>
      <c r="B101" t="inlineStr">
        <is>
          <t>Compliance &amp; regulatory (ICO, Cyber Essentials, DTAC/DSPT, clinical safety) — Y1</t>
        </is>
      </c>
      <c r="C101" s="11" t="n">
        <v>150</v>
      </c>
      <c r="D101" s="11" t="n">
        <v>400</v>
      </c>
      <c r="E101" s="11" t="n">
        <v>800</v>
      </c>
      <c r="F101" s="12">
        <f>INDEX($C101:$E101,1,$C$4)</f>
        <v/>
      </c>
      <c r="G101" t="inlineStr">
        <is>
          <t>GBP/month</t>
        </is>
      </c>
      <c r="H101" t="inlineStr">
        <is>
          <t>ESTIMATE</t>
        </is>
      </c>
      <c r="I101" s="4" t="inlineStr"/>
    </row>
    <row r="102">
      <c r="A102" s="4" t="inlineStr">
        <is>
          <t>compliance_y2</t>
        </is>
      </c>
      <c r="B102" t="inlineStr">
        <is>
          <t>Compliance &amp; regulatory (ICO, Cyber Essentials, DTAC/DSPT, clinical safety) — Y2</t>
        </is>
      </c>
      <c r="C102" s="11" t="n">
        <v>300</v>
      </c>
      <c r="D102" s="11" t="n">
        <v>1000</v>
      </c>
      <c r="E102" s="11" t="n">
        <v>3000</v>
      </c>
      <c r="F102" s="12">
        <f>INDEX($C102:$E102,1,$C$4)</f>
        <v/>
      </c>
      <c r="G102" t="inlineStr">
        <is>
          <t>GBP/month</t>
        </is>
      </c>
      <c r="H102" t="inlineStr">
        <is>
          <t>ESTIMATE</t>
        </is>
      </c>
      <c r="I102" s="4" t="inlineStr"/>
    </row>
    <row r="103">
      <c r="A103" s="4" t="inlineStr">
        <is>
          <t>compliance_y3</t>
        </is>
      </c>
      <c r="B103" t="inlineStr">
        <is>
          <t>Compliance &amp; regulatory (ICO, Cyber Essentials, DTAC/DSPT, clinical safety) — Y3</t>
        </is>
      </c>
      <c r="C103" s="11" t="n">
        <v>600</v>
      </c>
      <c r="D103" s="11" t="n">
        <v>4000</v>
      </c>
      <c r="E103" s="11" t="n">
        <v>5000</v>
      </c>
      <c r="F103" s="12">
        <f>INDEX($C103:$E103,1,$C$4)</f>
        <v/>
      </c>
      <c r="G103" t="inlineStr">
        <is>
          <t>GBP/month</t>
        </is>
      </c>
      <c r="H103" t="inlineStr">
        <is>
          <t>ESTIMATE</t>
        </is>
      </c>
      <c r="I103" s="4" t="inlineStr"/>
    </row>
    <row r="104">
      <c r="A104" s="4" t="inlineStr">
        <is>
          <t>insurance_y1</t>
        </is>
      </c>
      <c r="B104" t="inlineStr">
        <is>
          <t>Insurance (PI, PL, D&amp;O, cyber) — Y1</t>
        </is>
      </c>
      <c r="C104" s="11" t="n">
        <v>120</v>
      </c>
      <c r="D104" s="11" t="n">
        <v>150</v>
      </c>
      <c r="E104" s="11" t="n">
        <v>200</v>
      </c>
      <c r="F104" s="12">
        <f>INDEX($C104:$E104,1,$C$4)</f>
        <v/>
      </c>
      <c r="G104" t="inlineStr">
        <is>
          <t>GBP/month</t>
        </is>
      </c>
      <c r="H104" t="inlineStr">
        <is>
          <t>ESTIMATE</t>
        </is>
      </c>
      <c r="I104" s="4" t="inlineStr"/>
    </row>
    <row r="105">
      <c r="A105" s="4" t="inlineStr">
        <is>
          <t>insurance_y2</t>
        </is>
      </c>
      <c r="B105" t="inlineStr">
        <is>
          <t>Insurance (PI, PL, D&amp;O, cyber) — Y2</t>
        </is>
      </c>
      <c r="C105" s="11" t="n">
        <v>150</v>
      </c>
      <c r="D105" s="11" t="n">
        <v>250</v>
      </c>
      <c r="E105" s="11" t="n">
        <v>400</v>
      </c>
      <c r="F105" s="12">
        <f>INDEX($C105:$E105,1,$C$4)</f>
        <v/>
      </c>
      <c r="G105" t="inlineStr">
        <is>
          <t>GBP/month</t>
        </is>
      </c>
      <c r="H105" t="inlineStr">
        <is>
          <t>ESTIMATE</t>
        </is>
      </c>
      <c r="I105" s="4" t="inlineStr"/>
    </row>
    <row r="106">
      <c r="A106" s="4" t="inlineStr">
        <is>
          <t>insurance_y3</t>
        </is>
      </c>
      <c r="B106" t="inlineStr">
        <is>
          <t>Insurance (PI, PL, D&amp;O, cyber) — Y3</t>
        </is>
      </c>
      <c r="C106" s="11" t="n">
        <v>200</v>
      </c>
      <c r="D106" s="11" t="n">
        <v>400</v>
      </c>
      <c r="E106" s="11" t="n">
        <v>700</v>
      </c>
      <c r="F106" s="12">
        <f>INDEX($C106:$E106,1,$C$4)</f>
        <v/>
      </c>
      <c r="G106" t="inlineStr">
        <is>
          <t>GBP/month</t>
        </is>
      </c>
      <c r="H106" t="inlineStr">
        <is>
          <t>ESTIMATE</t>
        </is>
      </c>
      <c r="I106" s="4" t="inlineStr"/>
    </row>
    <row r="107">
      <c r="A107" s="4" t="inlineStr">
        <is>
          <t>software_y1</t>
        </is>
      </c>
      <c r="B107" t="inlineStr">
        <is>
          <t>Software subscriptions — Y1</t>
        </is>
      </c>
      <c r="C107" s="11" t="n">
        <v>120</v>
      </c>
      <c r="D107" s="11" t="n">
        <v>200</v>
      </c>
      <c r="E107" s="11" t="n">
        <v>300</v>
      </c>
      <c r="F107" s="12">
        <f>INDEX($C107:$E107,1,$C$4)</f>
        <v/>
      </c>
      <c r="G107" t="inlineStr">
        <is>
          <t>GBP/month</t>
        </is>
      </c>
      <c r="H107" t="inlineStr">
        <is>
          <t>ESTIMATE</t>
        </is>
      </c>
      <c r="I107" s="4" t="inlineStr"/>
    </row>
    <row r="108">
      <c r="A108" s="4" t="inlineStr">
        <is>
          <t>software_y2</t>
        </is>
      </c>
      <c r="B108" t="inlineStr">
        <is>
          <t>Software subscriptions — Y2</t>
        </is>
      </c>
      <c r="C108" s="11" t="n">
        <v>200</v>
      </c>
      <c r="D108" s="11" t="n">
        <v>400</v>
      </c>
      <c r="E108" s="11" t="n">
        <v>700</v>
      </c>
      <c r="F108" s="12">
        <f>INDEX($C108:$E108,1,$C$4)</f>
        <v/>
      </c>
      <c r="G108" t="inlineStr">
        <is>
          <t>GBP/month</t>
        </is>
      </c>
      <c r="H108" t="inlineStr">
        <is>
          <t>ESTIMATE</t>
        </is>
      </c>
      <c r="I108" s="4" t="inlineStr"/>
    </row>
    <row r="109">
      <c r="A109" s="4" t="inlineStr">
        <is>
          <t>software_y3</t>
        </is>
      </c>
      <c r="B109" t="inlineStr">
        <is>
          <t>Software subscriptions — Y3</t>
        </is>
      </c>
      <c r="C109" s="11" t="n">
        <v>300</v>
      </c>
      <c r="D109" s="11" t="n">
        <v>800</v>
      </c>
      <c r="E109" s="11" t="n">
        <v>1500</v>
      </c>
      <c r="F109" s="12">
        <f>INDEX($C109:$E109,1,$C$4)</f>
        <v/>
      </c>
      <c r="G109" t="inlineStr">
        <is>
          <t>GBP/month</t>
        </is>
      </c>
      <c r="H109" t="inlineStr">
        <is>
          <t>ESTIMATE</t>
        </is>
      </c>
      <c r="I109" s="4" t="inlineStr"/>
    </row>
    <row r="110">
      <c r="A110" s="4" t="inlineStr">
        <is>
          <t>travel_y1</t>
        </is>
      </c>
      <c r="B110" t="inlineStr">
        <is>
          <t>Travel (UK and Nigeria) — Y1</t>
        </is>
      </c>
      <c r="C110" s="11" t="n">
        <v>200</v>
      </c>
      <c r="D110" s="11" t="n">
        <v>400</v>
      </c>
      <c r="E110" s="11" t="n">
        <v>600</v>
      </c>
      <c r="F110" s="12">
        <f>INDEX($C110:$E110,1,$C$4)</f>
        <v/>
      </c>
      <c r="G110" t="inlineStr">
        <is>
          <t>GBP/month</t>
        </is>
      </c>
      <c r="H110" t="inlineStr">
        <is>
          <t>ESTIMATE</t>
        </is>
      </c>
      <c r="I110" s="4" t="inlineStr"/>
    </row>
    <row r="111">
      <c r="A111" s="4" t="inlineStr">
        <is>
          <t>travel_y2</t>
        </is>
      </c>
      <c r="B111" t="inlineStr">
        <is>
          <t>Travel (UK and Nigeria) — Y2</t>
        </is>
      </c>
      <c r="C111" s="11" t="n">
        <v>400</v>
      </c>
      <c r="D111" s="11" t="n">
        <v>1500</v>
      </c>
      <c r="E111" s="11" t="n">
        <v>4000</v>
      </c>
      <c r="F111" s="12">
        <f>INDEX($C111:$E111,1,$C$4)</f>
        <v/>
      </c>
      <c r="G111" t="inlineStr">
        <is>
          <t>GBP/month</t>
        </is>
      </c>
      <c r="H111" t="inlineStr">
        <is>
          <t>ESTIMATE</t>
        </is>
      </c>
      <c r="I111" s="4" t="inlineStr"/>
    </row>
    <row r="112">
      <c r="A112" s="4" t="inlineStr">
        <is>
          <t>travel_y3</t>
        </is>
      </c>
      <c r="B112" t="inlineStr">
        <is>
          <t>Travel (UK and Nigeria) — Y3</t>
        </is>
      </c>
      <c r="C112" s="11" t="n">
        <v>800</v>
      </c>
      <c r="D112" s="11" t="n">
        <v>6000</v>
      </c>
      <c r="E112" s="11" t="n">
        <v>10000</v>
      </c>
      <c r="F112" s="12">
        <f>INDEX($C112:$E112,1,$C$4)</f>
        <v/>
      </c>
      <c r="G112" t="inlineStr">
        <is>
          <t>GBP/month</t>
        </is>
      </c>
      <c r="H112" t="inlineStr">
        <is>
          <t>ESTIMATE</t>
        </is>
      </c>
      <c r="I112" s="4" t="inlineStr"/>
    </row>
    <row r="113">
      <c r="A113" s="4" t="inlineStr">
        <is>
          <t>operations_y1</t>
        </is>
      </c>
      <c r="B113" t="inlineStr">
        <is>
          <t>Operations (co-working, recruitment, in-country field support, misc.) — Y1</t>
        </is>
      </c>
      <c r="C113" s="11" t="n">
        <v>100</v>
      </c>
      <c r="D113" s="11" t="n">
        <v>300</v>
      </c>
      <c r="E113" s="11" t="n">
        <v>600</v>
      </c>
      <c r="F113" s="12">
        <f>INDEX($C113:$E113,1,$C$4)</f>
        <v/>
      </c>
      <c r="G113" t="inlineStr">
        <is>
          <t>GBP/month</t>
        </is>
      </c>
      <c r="H113" t="inlineStr">
        <is>
          <t>ESTIMATE</t>
        </is>
      </c>
      <c r="I113" s="4" t="inlineStr"/>
    </row>
    <row r="114">
      <c r="A114" s="4" t="inlineStr">
        <is>
          <t>operations_y2</t>
        </is>
      </c>
      <c r="B114" t="inlineStr">
        <is>
          <t>Operations (co-working, recruitment, in-country field support, misc.) — Y2</t>
        </is>
      </c>
      <c r="C114" s="11" t="n">
        <v>250</v>
      </c>
      <c r="D114" s="11" t="n">
        <v>1500</v>
      </c>
      <c r="E114" s="11" t="n">
        <v>5000</v>
      </c>
      <c r="F114" s="12">
        <f>INDEX($C114:$E114,1,$C$4)</f>
        <v/>
      </c>
      <c r="G114" t="inlineStr">
        <is>
          <t>GBP/month</t>
        </is>
      </c>
      <c r="H114" t="inlineStr">
        <is>
          <t>ESTIMATE</t>
        </is>
      </c>
      <c r="I114" s="4" t="inlineStr"/>
    </row>
    <row r="115">
      <c r="A115" s="4" t="inlineStr">
        <is>
          <t>operations_y3</t>
        </is>
      </c>
      <c r="B115" t="inlineStr">
        <is>
          <t>Operations (co-working, recruitment, in-country field support, misc.) — Y3</t>
        </is>
      </c>
      <c r="C115" s="11" t="n">
        <v>500</v>
      </c>
      <c r="D115" s="11" t="n">
        <v>8000</v>
      </c>
      <c r="E115" s="11" t="n">
        <v>15000</v>
      </c>
      <c r="F115" s="12">
        <f>INDEX($C115:$E115,1,$C$4)</f>
        <v/>
      </c>
      <c r="G115" t="inlineStr">
        <is>
          <t>GBP/month</t>
        </is>
      </c>
      <c r="H115" t="inlineStr">
        <is>
          <t>ESTIMATE</t>
        </is>
      </c>
      <c r="I115" s="4" t="inlineStr"/>
    </row>
    <row r="116">
      <c r="A116" s="4" t="inlineStr">
        <is>
          <t>accountancy_y1</t>
        </is>
      </c>
      <c r="B116" t="inlineStr">
        <is>
          <t>Accountancy, payroll, company secretarial — Y1</t>
        </is>
      </c>
      <c r="C116" s="11" t="n">
        <v>150</v>
      </c>
      <c r="D116" s="11" t="n">
        <v>200</v>
      </c>
      <c r="E116" s="11" t="n">
        <v>250</v>
      </c>
      <c r="F116" s="12">
        <f>INDEX($C116:$E116,1,$C$4)</f>
        <v/>
      </c>
      <c r="G116" t="inlineStr">
        <is>
          <t>GBP/month</t>
        </is>
      </c>
      <c r="H116" t="inlineStr">
        <is>
          <t>ESTIMATE</t>
        </is>
      </c>
      <c r="I116" s="4" t="inlineStr"/>
    </row>
    <row r="117">
      <c r="A117" s="4" t="inlineStr">
        <is>
          <t>accountancy_y2</t>
        </is>
      </c>
      <c r="B117" t="inlineStr">
        <is>
          <t>Accountancy, payroll, company secretarial — Y2</t>
        </is>
      </c>
      <c r="C117" s="11" t="n">
        <v>200</v>
      </c>
      <c r="D117" s="11" t="n">
        <v>300</v>
      </c>
      <c r="E117" s="11" t="n">
        <v>400</v>
      </c>
      <c r="F117" s="12">
        <f>INDEX($C117:$E117,1,$C$4)</f>
        <v/>
      </c>
      <c r="G117" t="inlineStr">
        <is>
          <t>GBP/month</t>
        </is>
      </c>
      <c r="H117" t="inlineStr">
        <is>
          <t>ESTIMATE</t>
        </is>
      </c>
      <c r="I117" s="4" t="inlineStr"/>
    </row>
    <row r="118">
      <c r="A118" s="4" t="inlineStr">
        <is>
          <t>accountancy_y3</t>
        </is>
      </c>
      <c r="B118" t="inlineStr">
        <is>
          <t>Accountancy, payroll, company secretarial — Y3</t>
        </is>
      </c>
      <c r="C118" s="11" t="n">
        <v>250</v>
      </c>
      <c r="D118" s="11" t="n">
        <v>400</v>
      </c>
      <c r="E118" s="11" t="n">
        <v>600</v>
      </c>
      <c r="F118" s="12">
        <f>INDEX($C118:$E118,1,$C$4)</f>
        <v/>
      </c>
      <c r="G118" t="inlineStr">
        <is>
          <t>GBP/month</t>
        </is>
      </c>
      <c r="H118" t="inlineStr">
        <is>
          <t>ESTIMATE</t>
        </is>
      </c>
      <c r="I118" s="4" t="inlineStr"/>
    </row>
    <row r="119">
      <c r="A119" s="4" t="inlineStr">
        <is>
          <t>legal_setup</t>
        </is>
      </c>
      <c r="B119" t="inlineStr">
        <is>
          <t>Legal &amp; IP set-up (one-off, month 1)</t>
        </is>
      </c>
      <c r="C119" s="11" t="n">
        <v>6000</v>
      </c>
      <c r="D119" s="11" t="n">
        <v>10000</v>
      </c>
      <c r="E119" s="11" t="n">
        <v>15000</v>
      </c>
      <c r="F119" s="12">
        <f>INDEX($C119:$E119,1,$C$4)</f>
        <v/>
      </c>
      <c r="G119" t="inlineStr">
        <is>
          <t>GBP</t>
        </is>
      </c>
      <c r="H119" t="inlineStr">
        <is>
          <t>ESTIMATE</t>
        </is>
      </c>
      <c r="I119" s="4" t="inlineStr">
        <is>
          <t>Incorporation, shareholders' agreement, MaternaLink IP assignment/licence, SEIS/EIS advance assurance, trade mark filing.</t>
        </is>
      </c>
    </row>
    <row r="120">
      <c r="A120" s="9" t="inlineStr">
        <is>
          <t>Funding injections (amount, month; 99 = not in model)</t>
        </is>
      </c>
      <c r="B120" s="10" t="n"/>
      <c r="C120" s="10" t="n"/>
      <c r="D120" s="10" t="n"/>
      <c r="E120" s="10" t="n"/>
      <c r="F120" s="10" t="n"/>
      <c r="G120" s="10" t="n"/>
      <c r="H120" s="10" t="n"/>
      <c r="I120" s="10" t="n"/>
    </row>
    <row r="121">
      <c r="A121" s="4" t="inlineStr">
        <is>
          <t>preseed_amt</t>
        </is>
      </c>
      <c r="B121" t="inlineStr">
        <is>
          <t>Pre-seed equity amount</t>
        </is>
      </c>
      <c r="C121" s="11" t="n">
        <v>250000</v>
      </c>
      <c r="D121" s="11" t="n">
        <v>400000</v>
      </c>
      <c r="E121" s="11" t="n">
        <v>500000</v>
      </c>
      <c r="F121" s="12">
        <f>INDEX($C121:$E121,1,$C$4)</f>
        <v/>
      </c>
      <c r="G121" t="inlineStr">
        <is>
          <t>GBP</t>
        </is>
      </c>
      <c r="H121" t="inlineStr">
        <is>
          <t>PROPOSED</t>
        </is>
      </c>
      <c r="I121" s="4" t="inlineStr">
        <is>
          <t>SEIS/EIS angels. SEIS company cap £250k lifetime (TO VALIDATE, see 09_FUNDING_STRATEGY).</t>
        </is>
      </c>
    </row>
    <row r="122">
      <c r="A122" s="4" t="inlineStr">
        <is>
          <t>preseed_m</t>
        </is>
      </c>
      <c r="B122" t="inlineStr">
        <is>
          <t>Pre-seed month</t>
        </is>
      </c>
      <c r="C122" s="13" t="n">
        <v>6</v>
      </c>
      <c r="D122" s="13" t="n">
        <v>4</v>
      </c>
      <c r="E122" s="13" t="n">
        <v>3</v>
      </c>
      <c r="F122" s="14">
        <f>INDEX($C122:$E122,1,$C$4)</f>
        <v/>
      </c>
      <c r="G122" t="inlineStr">
        <is>
          <t>month</t>
        </is>
      </c>
      <c r="H122" t="inlineStr">
        <is>
          <t>PROPOSED</t>
        </is>
      </c>
      <c r="I122" s="4" t="inlineStr"/>
    </row>
    <row r="123">
      <c r="A123" s="4" t="inlineStr">
        <is>
          <t>seed_amt</t>
        </is>
      </c>
      <c r="B123" t="inlineStr">
        <is>
          <t>Seed equity amount</t>
        </is>
      </c>
      <c r="C123" s="17" t="n">
        <v>0</v>
      </c>
      <c r="D123" s="11" t="n">
        <v>2000000</v>
      </c>
      <c r="E123" s="11" t="n">
        <v>3000000</v>
      </c>
      <c r="F123" s="18">
        <f>INDEX($C123:$E123,1,$C$4)</f>
        <v/>
      </c>
      <c r="G123" t="inlineStr">
        <is>
          <t>GBP</t>
        </is>
      </c>
      <c r="H123" t="inlineStr">
        <is>
          <t>PROPOSED</t>
        </is>
      </c>
      <c r="I123" s="4" t="inlineStr">
        <is>
          <t>Only raised if milestones in 09_FUNDING_STRATEGY are TRUE.</t>
        </is>
      </c>
    </row>
    <row r="124">
      <c r="A124" s="4" t="inlineStr">
        <is>
          <t>seed_m</t>
        </is>
      </c>
      <c r="B124" t="inlineStr">
        <is>
          <t>Seed month</t>
        </is>
      </c>
      <c r="C124" s="13" t="n">
        <v>99</v>
      </c>
      <c r="D124" s="13" t="n">
        <v>20</v>
      </c>
      <c r="E124" s="13" t="n">
        <v>14</v>
      </c>
      <c r="F124" s="14">
        <f>INDEX($C124:$E124,1,$C$4)</f>
        <v/>
      </c>
      <c r="G124" t="inlineStr">
        <is>
          <t>month</t>
        </is>
      </c>
      <c r="H124" t="inlineStr">
        <is>
          <t>PROPOSED</t>
        </is>
      </c>
      <c r="I124" s="4" t="inlineStr"/>
    </row>
    <row r="125">
      <c r="A125" s="4" t="inlineStr">
        <is>
          <t>seriesa_amt</t>
        </is>
      </c>
      <c r="B125" t="inlineStr">
        <is>
          <t>Series A equity amount</t>
        </is>
      </c>
      <c r="C125" s="17" t="n">
        <v>0</v>
      </c>
      <c r="D125" s="17" t="n">
        <v>0</v>
      </c>
      <c r="E125" s="17" t="n">
        <v>0</v>
      </c>
      <c r="F125" s="18">
        <f>INDEX($C125:$E125,1,$C$4)</f>
        <v/>
      </c>
      <c r="G125" t="inlineStr">
        <is>
          <t>GBP</t>
        </is>
      </c>
      <c r="H125" t="inlineStr">
        <is>
          <t>PROPOSED</t>
        </is>
      </c>
      <c r="I125" s="4" t="inlineStr">
        <is>
          <t>Not in the 36-month model in any scenario: no scenario needs it for solvency within 36 months, and High-growth reaches EBITDA break-even. Series A (£6m–£12m) is a month 30–42 growth-capital decision — see 09_FUNDING_STRATEGY. Set an amount and month here to test it. (Revised 8 Sept 2026: was £6m at month 32 in High-growth, raised while cash-generative with £4m in the bank.)</t>
        </is>
      </c>
    </row>
    <row r="126">
      <c r="A126" s="4" t="inlineStr">
        <is>
          <t>seriesa_m</t>
        </is>
      </c>
      <c r="B126" t="inlineStr">
        <is>
          <t>Series A month</t>
        </is>
      </c>
      <c r="C126" s="13" t="n">
        <v>99</v>
      </c>
      <c r="D126" s="13" t="n">
        <v>99</v>
      </c>
      <c r="E126" s="13" t="n">
        <v>99</v>
      </c>
      <c r="F126" s="14">
        <f>INDEX($C126:$E126,1,$C$4)</f>
        <v/>
      </c>
      <c r="G126" t="inlineStr">
        <is>
          <t>month</t>
        </is>
      </c>
      <c r="H126" t="inlineStr">
        <is>
          <t>PROPOSED</t>
        </is>
      </c>
      <c r="I126" s="4" t="inlineStr"/>
    </row>
    <row r="127">
      <c r="A127" s="4" t="inlineStr">
        <is>
          <t>grant1_amt</t>
        </is>
      </c>
      <c r="B127" t="inlineStr">
        <is>
          <t>Grant 1 (e.g., Innovate UK Smart / SBRI Healthcare)</t>
        </is>
      </c>
      <c r="C127" s="17" t="n">
        <v>0</v>
      </c>
      <c r="D127" s="11" t="n">
        <v>75000</v>
      </c>
      <c r="E127" s="11" t="n">
        <v>150000</v>
      </c>
      <c r="F127" s="18">
        <f>INDEX($C127:$E127,1,$C$4)</f>
        <v/>
      </c>
      <c r="G127" t="inlineStr">
        <is>
          <t>GBP</t>
        </is>
      </c>
      <c r="H127" t="inlineStr">
        <is>
          <t>TO VALIDATE</t>
        </is>
      </c>
      <c r="I127" s="4" t="inlineStr">
        <is>
          <t>Competitive; success rates low. Recognised as other income when received (simplification).</t>
        </is>
      </c>
    </row>
    <row r="128">
      <c r="A128" s="4" t="inlineStr">
        <is>
          <t>grant1_m</t>
        </is>
      </c>
      <c r="B128" t="inlineStr">
        <is>
          <t>Grant 1 month</t>
        </is>
      </c>
      <c r="C128" s="13" t="n">
        <v>99</v>
      </c>
      <c r="D128" s="13" t="n">
        <v>14</v>
      </c>
      <c r="E128" s="13" t="n">
        <v>9</v>
      </c>
      <c r="F128" s="14">
        <f>INDEX($C128:$E128,1,$C$4)</f>
        <v/>
      </c>
      <c r="G128" t="inlineStr">
        <is>
          <t>month</t>
        </is>
      </c>
      <c r="H128" t="inlineStr">
        <is>
          <t>TO VALIDATE</t>
        </is>
      </c>
      <c r="I128" s="4" t="inlineStr"/>
    </row>
    <row r="129">
      <c r="A129" s="4" t="inlineStr">
        <is>
          <t>grant2_amt</t>
        </is>
      </c>
      <c r="B129" t="inlineStr">
        <is>
          <t>Grant 2 (e.g., NIHR i4i Connect / foundation)</t>
        </is>
      </c>
      <c r="C129" s="17" t="n">
        <v>0</v>
      </c>
      <c r="D129" s="17" t="n">
        <v>0</v>
      </c>
      <c r="E129" s="11" t="n">
        <v>250000</v>
      </c>
      <c r="F129" s="18">
        <f>INDEX($C129:$E129,1,$C$4)</f>
        <v/>
      </c>
      <c r="G129" t="inlineStr">
        <is>
          <t>GBP</t>
        </is>
      </c>
      <c r="H129" t="inlineStr">
        <is>
          <t>TO VALIDATE</t>
        </is>
      </c>
      <c r="I129" s="4" t="inlineStr"/>
    </row>
    <row r="130">
      <c r="A130" s="4" t="inlineStr">
        <is>
          <t>grant2_m</t>
        </is>
      </c>
      <c r="B130" t="inlineStr">
        <is>
          <t>Grant 2 month</t>
        </is>
      </c>
      <c r="C130" s="13" t="n">
        <v>99</v>
      </c>
      <c r="D130" s="13" t="n">
        <v>99</v>
      </c>
      <c r="E130" s="13" t="n">
        <v>21</v>
      </c>
      <c r="F130" s="14">
        <f>INDEX($C130:$E130,1,$C$4)</f>
        <v/>
      </c>
      <c r="G130" t="inlineStr">
        <is>
          <t>month</t>
        </is>
      </c>
      <c r="H130" t="inlineStr">
        <is>
          <t>TO VALIDATE</t>
        </is>
      </c>
      <c r="I130" s="4" t="inlineStr"/>
    </row>
    <row r="132">
      <c r="A132" s="5" t="inlineStr">
        <is>
          <t>Derived payroll on-costs per person (annual) — formulas, not inputs</t>
        </is>
      </c>
    </row>
    <row r="133">
      <c r="A133" s="7" t="inlineStr">
        <is>
          <t>Key</t>
        </is>
      </c>
      <c r="B133" s="7" t="inlineStr">
        <is>
          <t>Person</t>
        </is>
      </c>
      <c r="C133" s="7" t="inlineStr">
        <is>
          <t>Annual salary (active)</t>
        </is>
      </c>
      <c r="D133" s="7" t="inlineStr">
        <is>
          <t>Employer NI (annual)</t>
        </is>
      </c>
      <c r="E133" s="7" t="inlineStr">
        <is>
          <t>Employer pension (annual)</t>
        </is>
      </c>
      <c r="F133" s="7" t="inlineStr">
        <is>
          <t>Total cost (annual)</t>
        </is>
      </c>
    </row>
    <row r="134">
      <c r="A134" s="4" t="inlineStr">
        <is>
          <t>founder</t>
        </is>
      </c>
      <c r="B134" t="inlineStr">
        <is>
          <t>Founder</t>
        </is>
      </c>
      <c r="C134" s="19">
        <f>Assumptions!$F$69</f>
        <v/>
      </c>
      <c r="D134" s="19">
        <f>MAX(0,Assumptions!$F$69-Assumptions!$F$62)*Assumptions!$F$61</f>
        <v/>
      </c>
      <c r="E134" s="19">
        <f>MIN(MAX(Assumptions!$F$69-Assumptions!$F$65,0),Assumptions!$F$66-Assumptions!$F$65)*Assumptions!$F$64</f>
        <v/>
      </c>
      <c r="F134" s="19">
        <f>C134+D134+E134</f>
        <v/>
      </c>
    </row>
    <row r="135">
      <c r="A135" s="4" t="inlineStr">
        <is>
          <t>product_lead</t>
        </is>
      </c>
      <c r="B135" t="inlineStr">
        <is>
          <t>Product lead / CTO</t>
        </is>
      </c>
      <c r="C135" s="19">
        <f>Assumptions!$F$71</f>
        <v/>
      </c>
      <c r="D135" s="19">
        <f>MAX(0,Assumptions!$F$71-Assumptions!$F$62)*Assumptions!$F$61</f>
        <v/>
      </c>
      <c r="E135" s="19">
        <f>MIN(MAX(Assumptions!$F$71-Assumptions!$F$65,0),Assumptions!$F$66-Assumptions!$F$65)*Assumptions!$F$64</f>
        <v/>
      </c>
      <c r="F135" s="19">
        <f>C135+D135+E135</f>
        <v/>
      </c>
    </row>
    <row r="136">
      <c r="A136" s="4" t="inlineStr">
        <is>
          <t>dev1</t>
        </is>
      </c>
      <c r="B136" t="inlineStr">
        <is>
          <t>Developer 1</t>
        </is>
      </c>
      <c r="C136" s="19">
        <f>Assumptions!$F$73</f>
        <v/>
      </c>
      <c r="D136" s="19">
        <f>MAX(0,Assumptions!$F$73-Assumptions!$F$62)*Assumptions!$F$61</f>
        <v/>
      </c>
      <c r="E136" s="19">
        <f>MIN(MAX(Assumptions!$F$73-Assumptions!$F$65,0),Assumptions!$F$66-Assumptions!$F$65)*Assumptions!$F$64</f>
        <v/>
      </c>
      <c r="F136" s="19">
        <f>C136+D136+E136</f>
        <v/>
      </c>
    </row>
    <row r="137">
      <c r="A137" s="4" t="inlineStr">
        <is>
          <t>dev2</t>
        </is>
      </c>
      <c r="B137" t="inlineStr">
        <is>
          <t>Developer 2</t>
        </is>
      </c>
      <c r="C137" s="19">
        <f>Assumptions!$F$75</f>
        <v/>
      </c>
      <c r="D137" s="19">
        <f>MAX(0,Assumptions!$F$75-Assumptions!$F$62)*Assumptions!$F$61</f>
        <v/>
      </c>
      <c r="E137" s="19">
        <f>MIN(MAX(Assumptions!$F$75-Assumptions!$F$65,0),Assumptions!$F$66-Assumptions!$F$65)*Assumptions!$F$64</f>
        <v/>
      </c>
      <c r="F137" s="19">
        <f>C137+D137+E137</f>
        <v/>
      </c>
    </row>
    <row r="138">
      <c r="A138" s="4" t="inlineStr">
        <is>
          <t>dev3</t>
        </is>
      </c>
      <c r="B138" t="inlineStr">
        <is>
          <t>Developer 3</t>
        </is>
      </c>
      <c r="C138" s="19">
        <f>Assumptions!$F$77</f>
        <v/>
      </c>
      <c r="D138" s="19">
        <f>MAX(0,Assumptions!$F$77-Assumptions!$F$62)*Assumptions!$F$61</f>
        <v/>
      </c>
      <c r="E138" s="19">
        <f>MIN(MAX(Assumptions!$F$77-Assumptions!$F$65,0),Assumptions!$F$66-Assumptions!$F$65)*Assumptions!$F$64</f>
        <v/>
      </c>
      <c r="F138" s="19">
        <f>C138+D138+E138</f>
        <v/>
      </c>
    </row>
    <row r="139">
      <c r="A139" s="4" t="inlineStr">
        <is>
          <t>bd_lead</t>
        </is>
      </c>
      <c r="B139" t="inlineStr">
        <is>
          <t>BD / sales lead</t>
        </is>
      </c>
      <c r="C139" s="19">
        <f>Assumptions!$F$79</f>
        <v/>
      </c>
      <c r="D139" s="19">
        <f>MAX(0,Assumptions!$F$79-Assumptions!$F$62)*Assumptions!$F$61</f>
        <v/>
      </c>
      <c r="E139" s="19">
        <f>MIN(MAX(Assumptions!$F$79-Assumptions!$F$65,0),Assumptions!$F$66-Assumptions!$F$65)*Assumptions!$F$64</f>
        <v/>
      </c>
      <c r="F139" s="19">
        <f>C139+D139+E139</f>
        <v/>
      </c>
    </row>
    <row r="140">
      <c r="A140" s="4" t="inlineStr">
        <is>
          <t>prog_mgr</t>
        </is>
      </c>
      <c r="B140" t="inlineStr">
        <is>
          <t>Programme manager (Nigeria)</t>
        </is>
      </c>
      <c r="C140" s="19">
        <f>Assumptions!$F$81</f>
        <v/>
      </c>
      <c r="D140" s="19">
        <f>MAX(0,Assumptions!$F$81-Assumptions!$F$62)*Assumptions!$F$61</f>
        <v/>
      </c>
      <c r="E140" s="19">
        <f>MIN(MAX(Assumptions!$F$81-Assumptions!$F$65,0),Assumptions!$F$66-Assumptions!$F$65)*Assumptions!$F$64</f>
        <v/>
      </c>
      <c r="F140" s="19">
        <f>C140+D140+E140</f>
        <v/>
      </c>
    </row>
    <row r="141">
      <c r="A141" s="4" t="inlineStr">
        <is>
          <t>clinical_lead</t>
        </is>
      </c>
      <c r="B141" t="inlineStr">
        <is>
          <t>Clinical lead (midwife/obstetrician)</t>
        </is>
      </c>
      <c r="C141" s="19">
        <f>Assumptions!$F$83</f>
        <v/>
      </c>
      <c r="D141" s="19">
        <f>MAX(0,Assumptions!$F$83-Assumptions!$F$62)*Assumptions!$F$61</f>
        <v/>
      </c>
      <c r="E141" s="19">
        <f>MIN(MAX(Assumptions!$F$83-Assumptions!$F$65,0),Assumptions!$F$66-Assumptions!$F$65)*Assumptions!$F$64</f>
        <v/>
      </c>
      <c r="F141" s="19">
        <f>C141+D141+E141</f>
        <v/>
      </c>
    </row>
    <row r="142">
      <c r="A142" s="4" t="inlineStr">
        <is>
          <t>content_lead</t>
        </is>
      </c>
      <c r="B142" t="inlineStr">
        <is>
          <t>E-learning content lead</t>
        </is>
      </c>
      <c r="C142" s="19">
        <f>Assumptions!$F$85</f>
        <v/>
      </c>
      <c r="D142" s="19">
        <f>MAX(0,Assumptions!$F$85-Assumptions!$F$62)*Assumptions!$F$61</f>
        <v/>
      </c>
      <c r="E142" s="19">
        <f>MIN(MAX(Assumptions!$F$85-Assumptions!$F$65,0),Assumptions!$F$66-Assumptions!$F$65)*Assumptions!$F$64</f>
        <v/>
      </c>
      <c r="F142" s="19">
        <f>C142+D142+E142</f>
        <v/>
      </c>
    </row>
    <row r="143">
      <c r="A143" s="4" t="inlineStr">
        <is>
          <t>consultant</t>
        </is>
      </c>
      <c r="B143" t="inlineStr">
        <is>
          <t>Senior consultant (billable)</t>
        </is>
      </c>
      <c r="C143" s="19">
        <f>Assumptions!$F$87</f>
        <v/>
      </c>
      <c r="D143" s="19">
        <f>MAX(0,Assumptions!$F$87-Assumptions!$F$62)*Assumptions!$F$61</f>
        <v/>
      </c>
      <c r="E143" s="19">
        <f>MIN(MAX(Assumptions!$F$87-Assumptions!$F$65,0),Assumptions!$F$66-Assumptions!$F$65)*Assumptions!$F$64</f>
        <v/>
      </c>
      <c r="F143" s="19">
        <f>C143+D143+E143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Q52"/>
  <sheetViews>
    <sheetView workbookViewId="0">
      <pane xSplit="2" ySplit="6" topLeftCell="C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2" customWidth="1" min="1" max="1"/>
    <col width="14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3" customWidth="1" min="40" max="40"/>
    <col width="13" customWidth="1" min="41" max="41"/>
    <col width="13" customWidth="1" min="42" max="42"/>
    <col width="13" customWidth="1" min="43" max="43"/>
  </cols>
  <sheetData>
    <row r="1">
      <c r="A1" s="38" t="inlineStr">
        <is>
          <t>Revenue build — Advisory, Consulting, E-learning, MaternaLink (in development)</t>
        </is>
      </c>
    </row>
    <row r="2">
      <c r="A2" s="4">
        <f>"Scenario: "&amp;Assumptions!$D$4&amp;"  —  all figures GBP, scenario values, not actuals"</f>
        <v/>
      </c>
    </row>
    <row r="3">
      <c r="A3" s="20" t="inlineStr">
        <is>
          <t>Month #</t>
        </is>
      </c>
      <c r="B3" s="10" t="n"/>
      <c r="C3" s="20" t="n">
        <v>1</v>
      </c>
      <c r="D3" s="20" t="n">
        <v>2</v>
      </c>
      <c r="E3" s="20" t="n">
        <v>3</v>
      </c>
      <c r="F3" s="20" t="n">
        <v>4</v>
      </c>
      <c r="G3" s="20" t="n">
        <v>5</v>
      </c>
      <c r="H3" s="20" t="n">
        <v>6</v>
      </c>
      <c r="I3" s="20" t="n">
        <v>7</v>
      </c>
      <c r="J3" s="20" t="n">
        <v>8</v>
      </c>
      <c r="K3" s="20" t="n">
        <v>9</v>
      </c>
      <c r="L3" s="20" t="n">
        <v>10</v>
      </c>
      <c r="M3" s="20" t="n">
        <v>11</v>
      </c>
      <c r="N3" s="20" t="n">
        <v>12</v>
      </c>
      <c r="O3" s="20" t="n">
        <v>13</v>
      </c>
      <c r="P3" s="20" t="n">
        <v>14</v>
      </c>
      <c r="Q3" s="20" t="n">
        <v>15</v>
      </c>
      <c r="R3" s="20" t="n">
        <v>16</v>
      </c>
      <c r="S3" s="20" t="n">
        <v>17</v>
      </c>
      <c r="T3" s="20" t="n">
        <v>18</v>
      </c>
      <c r="U3" s="20" t="n">
        <v>19</v>
      </c>
      <c r="V3" s="20" t="n">
        <v>20</v>
      </c>
      <c r="W3" s="20" t="n">
        <v>21</v>
      </c>
      <c r="X3" s="20" t="n">
        <v>22</v>
      </c>
      <c r="Y3" s="20" t="n">
        <v>23</v>
      </c>
      <c r="Z3" s="20" t="n">
        <v>24</v>
      </c>
      <c r="AA3" s="20" t="n">
        <v>25</v>
      </c>
      <c r="AB3" s="20" t="n">
        <v>26</v>
      </c>
      <c r="AC3" s="20" t="n">
        <v>27</v>
      </c>
      <c r="AD3" s="20" t="n">
        <v>28</v>
      </c>
      <c r="AE3" s="20" t="n">
        <v>29</v>
      </c>
      <c r="AF3" s="20" t="n">
        <v>30</v>
      </c>
      <c r="AG3" s="20" t="n">
        <v>31</v>
      </c>
      <c r="AH3" s="20" t="n">
        <v>32</v>
      </c>
      <c r="AI3" s="20" t="n">
        <v>33</v>
      </c>
      <c r="AJ3" s="20" t="n">
        <v>34</v>
      </c>
      <c r="AK3" s="20" t="n">
        <v>35</v>
      </c>
      <c r="AL3" s="20" t="n">
        <v>36</v>
      </c>
      <c r="AM3" s="10" t="n"/>
      <c r="AN3" s="10" t="n"/>
      <c r="AO3" s="10" t="n"/>
      <c r="AP3" s="10" t="n"/>
      <c r="AQ3" s="10" t="n"/>
    </row>
    <row r="4">
      <c r="A4" s="20" t="inlineStr">
        <is>
          <t>Month</t>
        </is>
      </c>
      <c r="B4" s="10" t="n"/>
      <c r="C4" s="21" t="n">
        <v>46388</v>
      </c>
      <c r="D4" s="21" t="n">
        <v>46419</v>
      </c>
      <c r="E4" s="21" t="n">
        <v>46447</v>
      </c>
      <c r="F4" s="21" t="n">
        <v>46478</v>
      </c>
      <c r="G4" s="21" t="n">
        <v>46508</v>
      </c>
      <c r="H4" s="21" t="n">
        <v>46539</v>
      </c>
      <c r="I4" s="21" t="n">
        <v>46569</v>
      </c>
      <c r="J4" s="21" t="n">
        <v>46600</v>
      </c>
      <c r="K4" s="21" t="n">
        <v>46631</v>
      </c>
      <c r="L4" s="21" t="n">
        <v>46661</v>
      </c>
      <c r="M4" s="21" t="n">
        <v>46692</v>
      </c>
      <c r="N4" s="21" t="n">
        <v>46722</v>
      </c>
      <c r="O4" s="21" t="n">
        <v>46753</v>
      </c>
      <c r="P4" s="21" t="n">
        <v>46784</v>
      </c>
      <c r="Q4" s="21" t="n">
        <v>46813</v>
      </c>
      <c r="R4" s="21" t="n">
        <v>46844</v>
      </c>
      <c r="S4" s="21" t="n">
        <v>46874</v>
      </c>
      <c r="T4" s="21" t="n">
        <v>46905</v>
      </c>
      <c r="U4" s="21" t="n">
        <v>46935</v>
      </c>
      <c r="V4" s="21" t="n">
        <v>46966</v>
      </c>
      <c r="W4" s="21" t="n">
        <v>46997</v>
      </c>
      <c r="X4" s="21" t="n">
        <v>47027</v>
      </c>
      <c r="Y4" s="21" t="n">
        <v>47058</v>
      </c>
      <c r="Z4" s="21" t="n">
        <v>47088</v>
      </c>
      <c r="AA4" s="21" t="n">
        <v>47119</v>
      </c>
      <c r="AB4" s="21" t="n">
        <v>47150</v>
      </c>
      <c r="AC4" s="21" t="n">
        <v>47178</v>
      </c>
      <c r="AD4" s="21" t="n">
        <v>47209</v>
      </c>
      <c r="AE4" s="21" t="n">
        <v>47239</v>
      </c>
      <c r="AF4" s="21" t="n">
        <v>47270</v>
      </c>
      <c r="AG4" s="21" t="n">
        <v>47300</v>
      </c>
      <c r="AH4" s="21" t="n">
        <v>47331</v>
      </c>
      <c r="AI4" s="21" t="n">
        <v>47362</v>
      </c>
      <c r="AJ4" s="21" t="n">
        <v>47392</v>
      </c>
      <c r="AK4" s="21" t="n">
        <v>47423</v>
      </c>
      <c r="AL4" s="21" t="n">
        <v>47453</v>
      </c>
      <c r="AM4" s="10" t="n"/>
      <c r="AN4" s="20" t="inlineStr">
        <is>
          <t>FY2027</t>
        </is>
      </c>
      <c r="AO4" s="20" t="inlineStr">
        <is>
          <t>FY2028</t>
        </is>
      </c>
      <c r="AP4" s="20" t="inlineStr">
        <is>
          <t>FY2029</t>
        </is>
      </c>
      <c r="AQ4" s="20" t="inlineStr">
        <is>
          <t>3-year total</t>
        </is>
      </c>
    </row>
    <row r="5">
      <c r="A5" s="20" t="inlineStr">
        <is>
          <t>Year</t>
        </is>
      </c>
      <c r="B5" s="10" t="n"/>
      <c r="C5" s="20" t="n">
        <v>2027</v>
      </c>
      <c r="D5" s="20" t="n">
        <v>2027</v>
      </c>
      <c r="E5" s="20" t="n">
        <v>2027</v>
      </c>
      <c r="F5" s="20" t="n">
        <v>2027</v>
      </c>
      <c r="G5" s="20" t="n">
        <v>2027</v>
      </c>
      <c r="H5" s="20" t="n">
        <v>2027</v>
      </c>
      <c r="I5" s="20" t="n">
        <v>2027</v>
      </c>
      <c r="J5" s="20" t="n">
        <v>2027</v>
      </c>
      <c r="K5" s="20" t="n">
        <v>2027</v>
      </c>
      <c r="L5" s="20" t="n">
        <v>2027</v>
      </c>
      <c r="M5" s="20" t="n">
        <v>2027</v>
      </c>
      <c r="N5" s="20" t="n">
        <v>2027</v>
      </c>
      <c r="O5" s="20" t="n">
        <v>2028</v>
      </c>
      <c r="P5" s="20" t="n">
        <v>2028</v>
      </c>
      <c r="Q5" s="20" t="n">
        <v>2028</v>
      </c>
      <c r="R5" s="20" t="n">
        <v>2028</v>
      </c>
      <c r="S5" s="20" t="n">
        <v>2028</v>
      </c>
      <c r="T5" s="20" t="n">
        <v>2028</v>
      </c>
      <c r="U5" s="20" t="n">
        <v>2028</v>
      </c>
      <c r="V5" s="20" t="n">
        <v>2028</v>
      </c>
      <c r="W5" s="20" t="n">
        <v>2028</v>
      </c>
      <c r="X5" s="20" t="n">
        <v>2028</v>
      </c>
      <c r="Y5" s="20" t="n">
        <v>2028</v>
      </c>
      <c r="Z5" s="20" t="n">
        <v>2028</v>
      </c>
      <c r="AA5" s="20" t="n">
        <v>2029</v>
      </c>
      <c r="AB5" s="20" t="n">
        <v>2029</v>
      </c>
      <c r="AC5" s="20" t="n">
        <v>2029</v>
      </c>
      <c r="AD5" s="20" t="n">
        <v>2029</v>
      </c>
      <c r="AE5" s="20" t="n">
        <v>2029</v>
      </c>
      <c r="AF5" s="20" t="n">
        <v>2029</v>
      </c>
      <c r="AG5" s="20" t="n">
        <v>2029</v>
      </c>
      <c r="AH5" s="20" t="n">
        <v>2029</v>
      </c>
      <c r="AI5" s="20" t="n">
        <v>2029</v>
      </c>
      <c r="AJ5" s="20" t="n">
        <v>2029</v>
      </c>
      <c r="AK5" s="20" t="n">
        <v>2029</v>
      </c>
      <c r="AL5" s="20" t="n">
        <v>2029</v>
      </c>
      <c r="AM5" s="10" t="n"/>
      <c r="AN5" s="20" t="n">
        <v>2027</v>
      </c>
      <c r="AO5" s="20" t="n">
        <v>2028</v>
      </c>
      <c r="AP5" s="20" t="n">
        <v>2029</v>
      </c>
      <c r="AQ5" s="10" t="n"/>
    </row>
    <row r="6">
      <c r="A6" s="7" t="inlineStr">
        <is>
          <t>Year index</t>
        </is>
      </c>
      <c r="C6">
        <f>C5-2026</f>
        <v/>
      </c>
      <c r="D6">
        <f>D5-2026</f>
        <v/>
      </c>
      <c r="E6">
        <f>E5-2026</f>
        <v/>
      </c>
      <c r="F6">
        <f>F5-2026</f>
        <v/>
      </c>
      <c r="G6">
        <f>G5-2026</f>
        <v/>
      </c>
      <c r="H6">
        <f>H5-2026</f>
        <v/>
      </c>
      <c r="I6">
        <f>I5-2026</f>
        <v/>
      </c>
      <c r="J6">
        <f>J5-2026</f>
        <v/>
      </c>
      <c r="K6">
        <f>K5-2026</f>
        <v/>
      </c>
      <c r="L6">
        <f>L5-2026</f>
        <v/>
      </c>
      <c r="M6">
        <f>M5-2026</f>
        <v/>
      </c>
      <c r="N6">
        <f>N5-2026</f>
        <v/>
      </c>
      <c r="O6">
        <f>O5-2026</f>
        <v/>
      </c>
      <c r="P6">
        <f>P5-2026</f>
        <v/>
      </c>
      <c r="Q6">
        <f>Q5-2026</f>
        <v/>
      </c>
      <c r="R6">
        <f>R5-2026</f>
        <v/>
      </c>
      <c r="S6">
        <f>S5-2026</f>
        <v/>
      </c>
      <c r="T6">
        <f>T5-2026</f>
        <v/>
      </c>
      <c r="U6">
        <f>U5-2026</f>
        <v/>
      </c>
      <c r="V6">
        <f>V5-2026</f>
        <v/>
      </c>
      <c r="W6">
        <f>W5-2026</f>
        <v/>
      </c>
      <c r="X6">
        <f>X5-2026</f>
        <v/>
      </c>
      <c r="Y6">
        <f>Y5-2026</f>
        <v/>
      </c>
      <c r="Z6">
        <f>Z5-2026</f>
        <v/>
      </c>
      <c r="AA6">
        <f>AA5-2026</f>
        <v/>
      </c>
      <c r="AB6">
        <f>AB5-2026</f>
        <v/>
      </c>
      <c r="AC6">
        <f>AC5-2026</f>
        <v/>
      </c>
      <c r="AD6">
        <f>AD5-2026</f>
        <v/>
      </c>
      <c r="AE6">
        <f>AE5-2026</f>
        <v/>
      </c>
      <c r="AF6">
        <f>AF5-2026</f>
        <v/>
      </c>
      <c r="AG6">
        <f>AG5-2026</f>
        <v/>
      </c>
      <c r="AH6">
        <f>AH5-2026</f>
        <v/>
      </c>
      <c r="AI6">
        <f>AI5-2026</f>
        <v/>
      </c>
      <c r="AJ6">
        <f>AJ5-2026</f>
        <v/>
      </c>
      <c r="AK6">
        <f>AK5-2026</f>
        <v/>
      </c>
      <c r="AL6">
        <f>AL5-2026</f>
        <v/>
      </c>
    </row>
    <row r="7">
      <c r="A7" s="22" t="inlineStr">
        <is>
          <t>Sales ramp factor</t>
        </is>
      </c>
      <c r="B7" s="4" t="inlineStr"/>
      <c r="C7" s="23">
        <f>MIN(1,MAX(0,(C3-1)/Assumptions!$F$12))</f>
        <v/>
      </c>
      <c r="D7" s="23">
        <f>MIN(1,MAX(0,(D3-1)/Assumptions!$F$12))</f>
        <v/>
      </c>
      <c r="E7" s="23">
        <f>MIN(1,MAX(0,(E3-1)/Assumptions!$F$12))</f>
        <v/>
      </c>
      <c r="F7" s="23">
        <f>MIN(1,MAX(0,(F3-1)/Assumptions!$F$12))</f>
        <v/>
      </c>
      <c r="G7" s="23">
        <f>MIN(1,MAX(0,(G3-1)/Assumptions!$F$12))</f>
        <v/>
      </c>
      <c r="H7" s="23">
        <f>MIN(1,MAX(0,(H3-1)/Assumptions!$F$12))</f>
        <v/>
      </c>
      <c r="I7" s="23">
        <f>MIN(1,MAX(0,(I3-1)/Assumptions!$F$12))</f>
        <v/>
      </c>
      <c r="J7" s="23">
        <f>MIN(1,MAX(0,(J3-1)/Assumptions!$F$12))</f>
        <v/>
      </c>
      <c r="K7" s="23">
        <f>MIN(1,MAX(0,(K3-1)/Assumptions!$F$12))</f>
        <v/>
      </c>
      <c r="L7" s="23">
        <f>MIN(1,MAX(0,(L3-1)/Assumptions!$F$12))</f>
        <v/>
      </c>
      <c r="M7" s="23">
        <f>MIN(1,MAX(0,(M3-1)/Assumptions!$F$12))</f>
        <v/>
      </c>
      <c r="N7" s="23">
        <f>MIN(1,MAX(0,(N3-1)/Assumptions!$F$12))</f>
        <v/>
      </c>
      <c r="O7" s="23">
        <f>MIN(1,MAX(0,(O3-1)/Assumptions!$F$12))</f>
        <v/>
      </c>
      <c r="P7" s="23">
        <f>MIN(1,MAX(0,(P3-1)/Assumptions!$F$12))</f>
        <v/>
      </c>
      <c r="Q7" s="23">
        <f>MIN(1,MAX(0,(Q3-1)/Assumptions!$F$12))</f>
        <v/>
      </c>
      <c r="R7" s="23">
        <f>MIN(1,MAX(0,(R3-1)/Assumptions!$F$12))</f>
        <v/>
      </c>
      <c r="S7" s="23">
        <f>MIN(1,MAX(0,(S3-1)/Assumptions!$F$12))</f>
        <v/>
      </c>
      <c r="T7" s="23">
        <f>MIN(1,MAX(0,(T3-1)/Assumptions!$F$12))</f>
        <v/>
      </c>
      <c r="U7" s="23">
        <f>MIN(1,MAX(0,(U3-1)/Assumptions!$F$12))</f>
        <v/>
      </c>
      <c r="V7" s="23">
        <f>MIN(1,MAX(0,(V3-1)/Assumptions!$F$12))</f>
        <v/>
      </c>
      <c r="W7" s="23">
        <f>MIN(1,MAX(0,(W3-1)/Assumptions!$F$12))</f>
        <v/>
      </c>
      <c r="X7" s="23">
        <f>MIN(1,MAX(0,(X3-1)/Assumptions!$F$12))</f>
        <v/>
      </c>
      <c r="Y7" s="23">
        <f>MIN(1,MAX(0,(Y3-1)/Assumptions!$F$12))</f>
        <v/>
      </c>
      <c r="Z7" s="23">
        <f>MIN(1,MAX(0,(Z3-1)/Assumptions!$F$12))</f>
        <v/>
      </c>
      <c r="AA7" s="23">
        <f>MIN(1,MAX(0,(AA3-1)/Assumptions!$F$12))</f>
        <v/>
      </c>
      <c r="AB7" s="23">
        <f>MIN(1,MAX(0,(AB3-1)/Assumptions!$F$12))</f>
        <v/>
      </c>
      <c r="AC7" s="23">
        <f>MIN(1,MAX(0,(AC3-1)/Assumptions!$F$12))</f>
        <v/>
      </c>
      <c r="AD7" s="23">
        <f>MIN(1,MAX(0,(AD3-1)/Assumptions!$F$12))</f>
        <v/>
      </c>
      <c r="AE7" s="23">
        <f>MIN(1,MAX(0,(AE3-1)/Assumptions!$F$12))</f>
        <v/>
      </c>
      <c r="AF7" s="23">
        <f>MIN(1,MAX(0,(AF3-1)/Assumptions!$F$12))</f>
        <v/>
      </c>
      <c r="AG7" s="23">
        <f>MIN(1,MAX(0,(AG3-1)/Assumptions!$F$12))</f>
        <v/>
      </c>
      <c r="AH7" s="23">
        <f>MIN(1,MAX(0,(AH3-1)/Assumptions!$F$12))</f>
        <v/>
      </c>
      <c r="AI7" s="23">
        <f>MIN(1,MAX(0,(AI3-1)/Assumptions!$F$12))</f>
        <v/>
      </c>
      <c r="AJ7" s="23">
        <f>MIN(1,MAX(0,(AJ3-1)/Assumptions!$F$12))</f>
        <v/>
      </c>
      <c r="AK7" s="23">
        <f>MIN(1,MAX(0,(AK3-1)/Assumptions!$F$12))</f>
        <v/>
      </c>
      <c r="AL7" s="23">
        <f>MIN(1,MAX(0,(AL3-1)/Assumptions!$F$12))</f>
        <v/>
      </c>
      <c r="AN7" s="23">
        <f>AVERAGEIF($C$5:$AL$5,AN$5,C7:AL7)</f>
        <v/>
      </c>
      <c r="AO7" s="23">
        <f>AVERAGEIF($C$5:$AL$5,AO$5,C7:AL7)</f>
        <v/>
      </c>
      <c r="AP7" s="23">
        <f>AVERAGEIF($C$5:$AL$5,AP$5,C7:AL7)</f>
        <v/>
      </c>
      <c r="AQ7" s="23">
        <f>AVERAGE(C7:AL7)</f>
        <v/>
      </c>
    </row>
    <row r="8">
      <c r="A8" s="9" t="inlineStr">
        <is>
          <t>ADVISORY</t>
        </is>
      </c>
      <c r="B8" s="10" t="n"/>
      <c r="C8" s="10" t="n"/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  <c r="M8" s="10" t="n"/>
      <c r="N8" s="10" t="n"/>
      <c r="O8" s="10" t="n"/>
      <c r="P8" s="10" t="n"/>
      <c r="Q8" s="10" t="n"/>
      <c r="R8" s="10" t="n"/>
      <c r="S8" s="10" t="n"/>
      <c r="T8" s="10" t="n"/>
      <c r="U8" s="10" t="n"/>
      <c r="V8" s="10" t="n"/>
      <c r="W8" s="10" t="n"/>
      <c r="X8" s="10" t="n"/>
      <c r="Y8" s="10" t="n"/>
      <c r="Z8" s="10" t="n"/>
      <c r="AA8" s="10" t="n"/>
      <c r="AB8" s="10" t="n"/>
      <c r="AC8" s="10" t="n"/>
      <c r="AD8" s="10" t="n"/>
      <c r="AE8" s="10" t="n"/>
      <c r="AF8" s="10" t="n"/>
      <c r="AG8" s="10" t="n"/>
      <c r="AH8" s="10" t="n"/>
      <c r="AI8" s="10" t="n"/>
      <c r="AJ8" s="10" t="n"/>
      <c r="AK8" s="10" t="n"/>
      <c r="AL8" s="10" t="n"/>
      <c r="AM8" s="10" t="n"/>
      <c r="AN8" s="10" t="n"/>
      <c r="AO8" s="10" t="n"/>
      <c r="AP8" s="10" t="n"/>
      <c r="AQ8" s="10" t="n"/>
    </row>
    <row r="9">
      <c r="A9" s="22" t="inlineStr">
        <is>
          <t>Founder available days</t>
        </is>
      </c>
      <c r="B9" s="4" t="inlineStr">
        <is>
          <t>days</t>
        </is>
      </c>
      <c r="C9" s="39">
        <f>Assumptions!$F$11</f>
        <v/>
      </c>
      <c r="D9" s="39">
        <f>Assumptions!$F$11</f>
        <v/>
      </c>
      <c r="E9" s="39">
        <f>Assumptions!$F$11</f>
        <v/>
      </c>
      <c r="F9" s="39">
        <f>Assumptions!$F$11</f>
        <v/>
      </c>
      <c r="G9" s="39">
        <f>Assumptions!$F$11</f>
        <v/>
      </c>
      <c r="H9" s="39">
        <f>Assumptions!$F$11</f>
        <v/>
      </c>
      <c r="I9" s="39">
        <f>Assumptions!$F$11</f>
        <v/>
      </c>
      <c r="J9" s="39">
        <f>Assumptions!$F$11</f>
        <v/>
      </c>
      <c r="K9" s="39">
        <f>Assumptions!$F$11</f>
        <v/>
      </c>
      <c r="L9" s="39">
        <f>Assumptions!$F$11</f>
        <v/>
      </c>
      <c r="M9" s="39">
        <f>Assumptions!$F$11</f>
        <v/>
      </c>
      <c r="N9" s="39">
        <f>Assumptions!$F$11</f>
        <v/>
      </c>
      <c r="O9" s="39">
        <f>Assumptions!$F$11</f>
        <v/>
      </c>
      <c r="P9" s="39">
        <f>Assumptions!$F$11</f>
        <v/>
      </c>
      <c r="Q9" s="39">
        <f>Assumptions!$F$11</f>
        <v/>
      </c>
      <c r="R9" s="39">
        <f>Assumptions!$F$11</f>
        <v/>
      </c>
      <c r="S9" s="39">
        <f>Assumptions!$F$11</f>
        <v/>
      </c>
      <c r="T9" s="39">
        <f>Assumptions!$F$11</f>
        <v/>
      </c>
      <c r="U9" s="39">
        <f>Assumptions!$F$11</f>
        <v/>
      </c>
      <c r="V9" s="39">
        <f>Assumptions!$F$11</f>
        <v/>
      </c>
      <c r="W9" s="39">
        <f>Assumptions!$F$11</f>
        <v/>
      </c>
      <c r="X9" s="39">
        <f>Assumptions!$F$11</f>
        <v/>
      </c>
      <c r="Y9" s="39">
        <f>Assumptions!$F$11</f>
        <v/>
      </c>
      <c r="Z9" s="39">
        <f>Assumptions!$F$11</f>
        <v/>
      </c>
      <c r="AA9" s="39">
        <f>Assumptions!$F$11</f>
        <v/>
      </c>
      <c r="AB9" s="39">
        <f>Assumptions!$F$11</f>
        <v/>
      </c>
      <c r="AC9" s="39">
        <f>Assumptions!$F$11</f>
        <v/>
      </c>
      <c r="AD9" s="39">
        <f>Assumptions!$F$11</f>
        <v/>
      </c>
      <c r="AE9" s="39">
        <f>Assumptions!$F$11</f>
        <v/>
      </c>
      <c r="AF9" s="39">
        <f>Assumptions!$F$11</f>
        <v/>
      </c>
      <c r="AG9" s="39">
        <f>Assumptions!$F$11</f>
        <v/>
      </c>
      <c r="AH9" s="39">
        <f>Assumptions!$F$11</f>
        <v/>
      </c>
      <c r="AI9" s="39">
        <f>Assumptions!$F$11</f>
        <v/>
      </c>
      <c r="AJ9" s="39">
        <f>Assumptions!$F$11</f>
        <v/>
      </c>
      <c r="AK9" s="39">
        <f>Assumptions!$F$11</f>
        <v/>
      </c>
      <c r="AL9" s="39">
        <f>Assumptions!$F$11</f>
        <v/>
      </c>
      <c r="AN9" s="39">
        <f>SUMIF($C$5:$AL$5,AN$5,C9:AL9)</f>
        <v/>
      </c>
      <c r="AO9" s="39">
        <f>SUMIF($C$5:$AL$5,AO$5,C9:AL9)</f>
        <v/>
      </c>
      <c r="AP9" s="39">
        <f>SUMIF($C$5:$AL$5,AP$5,C9:AL9)</f>
        <v/>
      </c>
      <c r="AQ9" s="39">
        <f>SUM(C9:AL9)</f>
        <v/>
      </c>
    </row>
    <row r="10">
      <c r="A10" s="22" t="inlineStr">
        <is>
          <t>Founder billable utilisation</t>
        </is>
      </c>
      <c r="B10" s="4" t="inlineStr"/>
      <c r="C10" s="25">
        <f>Assumptions!$F$15</f>
        <v/>
      </c>
      <c r="D10" s="25">
        <f>Assumptions!$F$15</f>
        <v/>
      </c>
      <c r="E10" s="25">
        <f>Assumptions!$F$15</f>
        <v/>
      </c>
      <c r="F10" s="25">
        <f>Assumptions!$F$15</f>
        <v/>
      </c>
      <c r="G10" s="25">
        <f>Assumptions!$F$15</f>
        <v/>
      </c>
      <c r="H10" s="25">
        <f>Assumptions!$F$15</f>
        <v/>
      </c>
      <c r="I10" s="25">
        <f>Assumptions!$F$15</f>
        <v/>
      </c>
      <c r="J10" s="25">
        <f>Assumptions!$F$15</f>
        <v/>
      </c>
      <c r="K10" s="25">
        <f>Assumptions!$F$15</f>
        <v/>
      </c>
      <c r="L10" s="25">
        <f>Assumptions!$F$15</f>
        <v/>
      </c>
      <c r="M10" s="25">
        <f>Assumptions!$F$15</f>
        <v/>
      </c>
      <c r="N10" s="25">
        <f>Assumptions!$F$15</f>
        <v/>
      </c>
      <c r="O10" s="25">
        <f>Assumptions!$F$15</f>
        <v/>
      </c>
      <c r="P10" s="25">
        <f>Assumptions!$F$15</f>
        <v/>
      </c>
      <c r="Q10" s="25">
        <f>Assumptions!$F$15</f>
        <v/>
      </c>
      <c r="R10" s="25">
        <f>Assumptions!$F$15</f>
        <v/>
      </c>
      <c r="S10" s="25">
        <f>Assumptions!$F$15</f>
        <v/>
      </c>
      <c r="T10" s="25">
        <f>Assumptions!$F$15</f>
        <v/>
      </c>
      <c r="U10" s="25">
        <f>Assumptions!$F$15</f>
        <v/>
      </c>
      <c r="V10" s="25">
        <f>Assumptions!$F$15</f>
        <v/>
      </c>
      <c r="W10" s="25">
        <f>Assumptions!$F$15</f>
        <v/>
      </c>
      <c r="X10" s="25">
        <f>Assumptions!$F$15</f>
        <v/>
      </c>
      <c r="Y10" s="25">
        <f>Assumptions!$F$15</f>
        <v/>
      </c>
      <c r="Z10" s="25">
        <f>Assumptions!$F$15</f>
        <v/>
      </c>
      <c r="AA10" s="25">
        <f>Assumptions!$F$15</f>
        <v/>
      </c>
      <c r="AB10" s="25">
        <f>Assumptions!$F$15</f>
        <v/>
      </c>
      <c r="AC10" s="25">
        <f>Assumptions!$F$15</f>
        <v/>
      </c>
      <c r="AD10" s="25">
        <f>Assumptions!$F$15</f>
        <v/>
      </c>
      <c r="AE10" s="25">
        <f>Assumptions!$F$15</f>
        <v/>
      </c>
      <c r="AF10" s="25">
        <f>Assumptions!$F$15</f>
        <v/>
      </c>
      <c r="AG10" s="25">
        <f>Assumptions!$F$15</f>
        <v/>
      </c>
      <c r="AH10" s="25">
        <f>Assumptions!$F$15</f>
        <v/>
      </c>
      <c r="AI10" s="25">
        <f>Assumptions!$F$15</f>
        <v/>
      </c>
      <c r="AJ10" s="25">
        <f>Assumptions!$F$15</f>
        <v/>
      </c>
      <c r="AK10" s="25">
        <f>Assumptions!$F$15</f>
        <v/>
      </c>
      <c r="AL10" s="25">
        <f>Assumptions!$F$15</f>
        <v/>
      </c>
      <c r="AN10" s="25">
        <f>AVERAGEIF($C$5:$AL$5,AN$5,C10:AL10)</f>
        <v/>
      </c>
      <c r="AO10" s="25">
        <f>AVERAGEIF($C$5:$AL$5,AO$5,C10:AL10)</f>
        <v/>
      </c>
      <c r="AP10" s="25">
        <f>AVERAGEIF($C$5:$AL$5,AP$5,C10:AL10)</f>
        <v/>
      </c>
      <c r="AQ10" s="25">
        <f>AVERAGE(C10:AL10)</f>
        <v/>
      </c>
    </row>
    <row r="11">
      <c r="A11" s="22" t="inlineStr">
        <is>
          <t>Founder billable days (utilisation × ramp)</t>
        </is>
      </c>
      <c r="B11" s="4" t="inlineStr">
        <is>
          <t>days</t>
        </is>
      </c>
      <c r="C11" s="39">
        <f>'Revenue build'!C9*'Revenue build'!C10*'Revenue build'!C7</f>
        <v/>
      </c>
      <c r="D11" s="39">
        <f>'Revenue build'!D9*'Revenue build'!D10*'Revenue build'!D7</f>
        <v/>
      </c>
      <c r="E11" s="39">
        <f>'Revenue build'!E9*'Revenue build'!E10*'Revenue build'!E7</f>
        <v/>
      </c>
      <c r="F11" s="39">
        <f>'Revenue build'!F9*'Revenue build'!F10*'Revenue build'!F7</f>
        <v/>
      </c>
      <c r="G11" s="39">
        <f>'Revenue build'!G9*'Revenue build'!G10*'Revenue build'!G7</f>
        <v/>
      </c>
      <c r="H11" s="39">
        <f>'Revenue build'!H9*'Revenue build'!H10*'Revenue build'!H7</f>
        <v/>
      </c>
      <c r="I11" s="39">
        <f>'Revenue build'!I9*'Revenue build'!I10*'Revenue build'!I7</f>
        <v/>
      </c>
      <c r="J11" s="39">
        <f>'Revenue build'!J9*'Revenue build'!J10*'Revenue build'!J7</f>
        <v/>
      </c>
      <c r="K11" s="39">
        <f>'Revenue build'!K9*'Revenue build'!K10*'Revenue build'!K7</f>
        <v/>
      </c>
      <c r="L11" s="39">
        <f>'Revenue build'!L9*'Revenue build'!L10*'Revenue build'!L7</f>
        <v/>
      </c>
      <c r="M11" s="39">
        <f>'Revenue build'!M9*'Revenue build'!M10*'Revenue build'!M7</f>
        <v/>
      </c>
      <c r="N11" s="39">
        <f>'Revenue build'!N9*'Revenue build'!N10*'Revenue build'!N7</f>
        <v/>
      </c>
      <c r="O11" s="39">
        <f>'Revenue build'!O9*'Revenue build'!O10*'Revenue build'!O7</f>
        <v/>
      </c>
      <c r="P11" s="39">
        <f>'Revenue build'!P9*'Revenue build'!P10*'Revenue build'!P7</f>
        <v/>
      </c>
      <c r="Q11" s="39">
        <f>'Revenue build'!Q9*'Revenue build'!Q10*'Revenue build'!Q7</f>
        <v/>
      </c>
      <c r="R11" s="39">
        <f>'Revenue build'!R9*'Revenue build'!R10*'Revenue build'!R7</f>
        <v/>
      </c>
      <c r="S11" s="39">
        <f>'Revenue build'!S9*'Revenue build'!S10*'Revenue build'!S7</f>
        <v/>
      </c>
      <c r="T11" s="39">
        <f>'Revenue build'!T9*'Revenue build'!T10*'Revenue build'!T7</f>
        <v/>
      </c>
      <c r="U11" s="39">
        <f>'Revenue build'!U9*'Revenue build'!U10*'Revenue build'!U7</f>
        <v/>
      </c>
      <c r="V11" s="39">
        <f>'Revenue build'!V9*'Revenue build'!V10*'Revenue build'!V7</f>
        <v/>
      </c>
      <c r="W11" s="39">
        <f>'Revenue build'!W9*'Revenue build'!W10*'Revenue build'!W7</f>
        <v/>
      </c>
      <c r="X11" s="39">
        <f>'Revenue build'!X9*'Revenue build'!X10*'Revenue build'!X7</f>
        <v/>
      </c>
      <c r="Y11" s="39">
        <f>'Revenue build'!Y9*'Revenue build'!Y10*'Revenue build'!Y7</f>
        <v/>
      </c>
      <c r="Z11" s="39">
        <f>'Revenue build'!Z9*'Revenue build'!Z10*'Revenue build'!Z7</f>
        <v/>
      </c>
      <c r="AA11" s="39">
        <f>'Revenue build'!AA9*'Revenue build'!AA10*'Revenue build'!AA7</f>
        <v/>
      </c>
      <c r="AB11" s="39">
        <f>'Revenue build'!AB9*'Revenue build'!AB10*'Revenue build'!AB7</f>
        <v/>
      </c>
      <c r="AC11" s="39">
        <f>'Revenue build'!AC9*'Revenue build'!AC10*'Revenue build'!AC7</f>
        <v/>
      </c>
      <c r="AD11" s="39">
        <f>'Revenue build'!AD9*'Revenue build'!AD10*'Revenue build'!AD7</f>
        <v/>
      </c>
      <c r="AE11" s="39">
        <f>'Revenue build'!AE9*'Revenue build'!AE10*'Revenue build'!AE7</f>
        <v/>
      </c>
      <c r="AF11" s="39">
        <f>'Revenue build'!AF9*'Revenue build'!AF10*'Revenue build'!AF7</f>
        <v/>
      </c>
      <c r="AG11" s="39">
        <f>'Revenue build'!AG9*'Revenue build'!AG10*'Revenue build'!AG7</f>
        <v/>
      </c>
      <c r="AH11" s="39">
        <f>'Revenue build'!AH9*'Revenue build'!AH10*'Revenue build'!AH7</f>
        <v/>
      </c>
      <c r="AI11" s="39">
        <f>'Revenue build'!AI9*'Revenue build'!AI10*'Revenue build'!AI7</f>
        <v/>
      </c>
      <c r="AJ11" s="39">
        <f>'Revenue build'!AJ9*'Revenue build'!AJ10*'Revenue build'!AJ7</f>
        <v/>
      </c>
      <c r="AK11" s="39">
        <f>'Revenue build'!AK9*'Revenue build'!AK10*'Revenue build'!AK7</f>
        <v/>
      </c>
      <c r="AL11" s="39">
        <f>'Revenue build'!AL9*'Revenue build'!AL10*'Revenue build'!AL7</f>
        <v/>
      </c>
      <c r="AN11" s="39">
        <f>SUMIF($C$5:$AL$5,AN$5,C11:AL11)</f>
        <v/>
      </c>
      <c r="AO11" s="39">
        <f>SUMIF($C$5:$AL$5,AO$5,C11:AL11)</f>
        <v/>
      </c>
      <c r="AP11" s="39">
        <f>SUMIF($C$5:$AL$5,AP$5,C11:AL11)</f>
        <v/>
      </c>
      <c r="AQ11" s="39">
        <f>SUM(C11:AL11)</f>
        <v/>
      </c>
    </row>
    <row r="12">
      <c r="A12" s="22" t="inlineStr">
        <is>
          <t>Retainers active</t>
        </is>
      </c>
      <c r="B12" s="4" t="inlineStr">
        <is>
          <t>count</t>
        </is>
      </c>
      <c r="C12" s="39">
        <f>IF(C3&gt;=Assumptions!$F$16,CHOOSE(C6,Assumptions!$F$17,Assumptions!$F$18,Assumptions!$F$19),0)</f>
        <v/>
      </c>
      <c r="D12" s="39">
        <f>IF(D3&gt;=Assumptions!$F$16,CHOOSE(D6,Assumptions!$F$17,Assumptions!$F$18,Assumptions!$F$19),0)</f>
        <v/>
      </c>
      <c r="E12" s="39">
        <f>IF(E3&gt;=Assumptions!$F$16,CHOOSE(E6,Assumptions!$F$17,Assumptions!$F$18,Assumptions!$F$19),0)</f>
        <v/>
      </c>
      <c r="F12" s="39">
        <f>IF(F3&gt;=Assumptions!$F$16,CHOOSE(F6,Assumptions!$F$17,Assumptions!$F$18,Assumptions!$F$19),0)</f>
        <v/>
      </c>
      <c r="G12" s="39">
        <f>IF(G3&gt;=Assumptions!$F$16,CHOOSE(G6,Assumptions!$F$17,Assumptions!$F$18,Assumptions!$F$19),0)</f>
        <v/>
      </c>
      <c r="H12" s="39">
        <f>IF(H3&gt;=Assumptions!$F$16,CHOOSE(H6,Assumptions!$F$17,Assumptions!$F$18,Assumptions!$F$19),0)</f>
        <v/>
      </c>
      <c r="I12" s="39">
        <f>IF(I3&gt;=Assumptions!$F$16,CHOOSE(I6,Assumptions!$F$17,Assumptions!$F$18,Assumptions!$F$19),0)</f>
        <v/>
      </c>
      <c r="J12" s="39">
        <f>IF(J3&gt;=Assumptions!$F$16,CHOOSE(J6,Assumptions!$F$17,Assumptions!$F$18,Assumptions!$F$19),0)</f>
        <v/>
      </c>
      <c r="K12" s="39">
        <f>IF(K3&gt;=Assumptions!$F$16,CHOOSE(K6,Assumptions!$F$17,Assumptions!$F$18,Assumptions!$F$19),0)</f>
        <v/>
      </c>
      <c r="L12" s="39">
        <f>IF(L3&gt;=Assumptions!$F$16,CHOOSE(L6,Assumptions!$F$17,Assumptions!$F$18,Assumptions!$F$19),0)</f>
        <v/>
      </c>
      <c r="M12" s="39">
        <f>IF(M3&gt;=Assumptions!$F$16,CHOOSE(M6,Assumptions!$F$17,Assumptions!$F$18,Assumptions!$F$19),0)</f>
        <v/>
      </c>
      <c r="N12" s="39">
        <f>IF(N3&gt;=Assumptions!$F$16,CHOOSE(N6,Assumptions!$F$17,Assumptions!$F$18,Assumptions!$F$19),0)</f>
        <v/>
      </c>
      <c r="O12" s="39">
        <f>IF(O3&gt;=Assumptions!$F$16,CHOOSE(O6,Assumptions!$F$17,Assumptions!$F$18,Assumptions!$F$19),0)</f>
        <v/>
      </c>
      <c r="P12" s="39">
        <f>IF(P3&gt;=Assumptions!$F$16,CHOOSE(P6,Assumptions!$F$17,Assumptions!$F$18,Assumptions!$F$19),0)</f>
        <v/>
      </c>
      <c r="Q12" s="39">
        <f>IF(Q3&gt;=Assumptions!$F$16,CHOOSE(Q6,Assumptions!$F$17,Assumptions!$F$18,Assumptions!$F$19),0)</f>
        <v/>
      </c>
      <c r="R12" s="39">
        <f>IF(R3&gt;=Assumptions!$F$16,CHOOSE(R6,Assumptions!$F$17,Assumptions!$F$18,Assumptions!$F$19),0)</f>
        <v/>
      </c>
      <c r="S12" s="39">
        <f>IF(S3&gt;=Assumptions!$F$16,CHOOSE(S6,Assumptions!$F$17,Assumptions!$F$18,Assumptions!$F$19),0)</f>
        <v/>
      </c>
      <c r="T12" s="39">
        <f>IF(T3&gt;=Assumptions!$F$16,CHOOSE(T6,Assumptions!$F$17,Assumptions!$F$18,Assumptions!$F$19),0)</f>
        <v/>
      </c>
      <c r="U12" s="39">
        <f>IF(U3&gt;=Assumptions!$F$16,CHOOSE(U6,Assumptions!$F$17,Assumptions!$F$18,Assumptions!$F$19),0)</f>
        <v/>
      </c>
      <c r="V12" s="39">
        <f>IF(V3&gt;=Assumptions!$F$16,CHOOSE(V6,Assumptions!$F$17,Assumptions!$F$18,Assumptions!$F$19),0)</f>
        <v/>
      </c>
      <c r="W12" s="39">
        <f>IF(W3&gt;=Assumptions!$F$16,CHOOSE(W6,Assumptions!$F$17,Assumptions!$F$18,Assumptions!$F$19),0)</f>
        <v/>
      </c>
      <c r="X12" s="39">
        <f>IF(X3&gt;=Assumptions!$F$16,CHOOSE(X6,Assumptions!$F$17,Assumptions!$F$18,Assumptions!$F$19),0)</f>
        <v/>
      </c>
      <c r="Y12" s="39">
        <f>IF(Y3&gt;=Assumptions!$F$16,CHOOSE(Y6,Assumptions!$F$17,Assumptions!$F$18,Assumptions!$F$19),0)</f>
        <v/>
      </c>
      <c r="Z12" s="39">
        <f>IF(Z3&gt;=Assumptions!$F$16,CHOOSE(Z6,Assumptions!$F$17,Assumptions!$F$18,Assumptions!$F$19),0)</f>
        <v/>
      </c>
      <c r="AA12" s="39">
        <f>IF(AA3&gt;=Assumptions!$F$16,CHOOSE(AA6,Assumptions!$F$17,Assumptions!$F$18,Assumptions!$F$19),0)</f>
        <v/>
      </c>
      <c r="AB12" s="39">
        <f>IF(AB3&gt;=Assumptions!$F$16,CHOOSE(AB6,Assumptions!$F$17,Assumptions!$F$18,Assumptions!$F$19),0)</f>
        <v/>
      </c>
      <c r="AC12" s="39">
        <f>IF(AC3&gt;=Assumptions!$F$16,CHOOSE(AC6,Assumptions!$F$17,Assumptions!$F$18,Assumptions!$F$19),0)</f>
        <v/>
      </c>
      <c r="AD12" s="39">
        <f>IF(AD3&gt;=Assumptions!$F$16,CHOOSE(AD6,Assumptions!$F$17,Assumptions!$F$18,Assumptions!$F$19),0)</f>
        <v/>
      </c>
      <c r="AE12" s="39">
        <f>IF(AE3&gt;=Assumptions!$F$16,CHOOSE(AE6,Assumptions!$F$17,Assumptions!$F$18,Assumptions!$F$19),0)</f>
        <v/>
      </c>
      <c r="AF12" s="39">
        <f>IF(AF3&gt;=Assumptions!$F$16,CHOOSE(AF6,Assumptions!$F$17,Assumptions!$F$18,Assumptions!$F$19),0)</f>
        <v/>
      </c>
      <c r="AG12" s="39">
        <f>IF(AG3&gt;=Assumptions!$F$16,CHOOSE(AG6,Assumptions!$F$17,Assumptions!$F$18,Assumptions!$F$19),0)</f>
        <v/>
      </c>
      <c r="AH12" s="39">
        <f>IF(AH3&gt;=Assumptions!$F$16,CHOOSE(AH6,Assumptions!$F$17,Assumptions!$F$18,Assumptions!$F$19),0)</f>
        <v/>
      </c>
      <c r="AI12" s="39">
        <f>IF(AI3&gt;=Assumptions!$F$16,CHOOSE(AI6,Assumptions!$F$17,Assumptions!$F$18,Assumptions!$F$19),0)</f>
        <v/>
      </c>
      <c r="AJ12" s="39">
        <f>IF(AJ3&gt;=Assumptions!$F$16,CHOOSE(AJ6,Assumptions!$F$17,Assumptions!$F$18,Assumptions!$F$19),0)</f>
        <v/>
      </c>
      <c r="AK12" s="39">
        <f>IF(AK3&gt;=Assumptions!$F$16,CHOOSE(AK6,Assumptions!$F$17,Assumptions!$F$18,Assumptions!$F$19),0)</f>
        <v/>
      </c>
      <c r="AL12" s="39">
        <f>IF(AL3&gt;=Assumptions!$F$16,CHOOSE(AL6,Assumptions!$F$17,Assumptions!$F$18,Assumptions!$F$19),0)</f>
        <v/>
      </c>
      <c r="AN12" s="39">
        <f>AVERAGEIF($C$5:$AL$5,AN$5,C12:AL12)</f>
        <v/>
      </c>
      <c r="AO12" s="39">
        <f>AVERAGEIF($C$5:$AL$5,AO$5,C12:AL12)</f>
        <v/>
      </c>
      <c r="AP12" s="39">
        <f>AVERAGEIF($C$5:$AL$5,AP$5,C12:AL12)</f>
        <v/>
      </c>
      <c r="AQ12" s="39">
        <f>AVERAGE(C12:AL12)</f>
        <v/>
      </c>
    </row>
    <row r="13">
      <c r="A13" s="22" t="inlineStr">
        <is>
          <t>Founder days consumed by retainers</t>
        </is>
      </c>
      <c r="B13" s="4" t="inlineStr">
        <is>
          <t>days</t>
        </is>
      </c>
      <c r="C13" s="39">
        <f>'Revenue build'!C12*Assumptions!$F$21</f>
        <v/>
      </c>
      <c r="D13" s="39">
        <f>'Revenue build'!D12*Assumptions!$F$21</f>
        <v/>
      </c>
      <c r="E13" s="39">
        <f>'Revenue build'!E12*Assumptions!$F$21</f>
        <v/>
      </c>
      <c r="F13" s="39">
        <f>'Revenue build'!F12*Assumptions!$F$21</f>
        <v/>
      </c>
      <c r="G13" s="39">
        <f>'Revenue build'!G12*Assumptions!$F$21</f>
        <v/>
      </c>
      <c r="H13" s="39">
        <f>'Revenue build'!H12*Assumptions!$F$21</f>
        <v/>
      </c>
      <c r="I13" s="39">
        <f>'Revenue build'!I12*Assumptions!$F$21</f>
        <v/>
      </c>
      <c r="J13" s="39">
        <f>'Revenue build'!J12*Assumptions!$F$21</f>
        <v/>
      </c>
      <c r="K13" s="39">
        <f>'Revenue build'!K12*Assumptions!$F$21</f>
        <v/>
      </c>
      <c r="L13" s="39">
        <f>'Revenue build'!L12*Assumptions!$F$21</f>
        <v/>
      </c>
      <c r="M13" s="39">
        <f>'Revenue build'!M12*Assumptions!$F$21</f>
        <v/>
      </c>
      <c r="N13" s="39">
        <f>'Revenue build'!N12*Assumptions!$F$21</f>
        <v/>
      </c>
      <c r="O13" s="39">
        <f>'Revenue build'!O12*Assumptions!$F$21</f>
        <v/>
      </c>
      <c r="P13" s="39">
        <f>'Revenue build'!P12*Assumptions!$F$21</f>
        <v/>
      </c>
      <c r="Q13" s="39">
        <f>'Revenue build'!Q12*Assumptions!$F$21</f>
        <v/>
      </c>
      <c r="R13" s="39">
        <f>'Revenue build'!R12*Assumptions!$F$21</f>
        <v/>
      </c>
      <c r="S13" s="39">
        <f>'Revenue build'!S12*Assumptions!$F$21</f>
        <v/>
      </c>
      <c r="T13" s="39">
        <f>'Revenue build'!T12*Assumptions!$F$21</f>
        <v/>
      </c>
      <c r="U13" s="39">
        <f>'Revenue build'!U12*Assumptions!$F$21</f>
        <v/>
      </c>
      <c r="V13" s="39">
        <f>'Revenue build'!V12*Assumptions!$F$21</f>
        <v/>
      </c>
      <c r="W13" s="39">
        <f>'Revenue build'!W12*Assumptions!$F$21</f>
        <v/>
      </c>
      <c r="X13" s="39">
        <f>'Revenue build'!X12*Assumptions!$F$21</f>
        <v/>
      </c>
      <c r="Y13" s="39">
        <f>'Revenue build'!Y12*Assumptions!$F$21</f>
        <v/>
      </c>
      <c r="Z13" s="39">
        <f>'Revenue build'!Z12*Assumptions!$F$21</f>
        <v/>
      </c>
      <c r="AA13" s="39">
        <f>'Revenue build'!AA12*Assumptions!$F$21</f>
        <v/>
      </c>
      <c r="AB13" s="39">
        <f>'Revenue build'!AB12*Assumptions!$F$21</f>
        <v/>
      </c>
      <c r="AC13" s="39">
        <f>'Revenue build'!AC12*Assumptions!$F$21</f>
        <v/>
      </c>
      <c r="AD13" s="39">
        <f>'Revenue build'!AD12*Assumptions!$F$21</f>
        <v/>
      </c>
      <c r="AE13" s="39">
        <f>'Revenue build'!AE12*Assumptions!$F$21</f>
        <v/>
      </c>
      <c r="AF13" s="39">
        <f>'Revenue build'!AF12*Assumptions!$F$21</f>
        <v/>
      </c>
      <c r="AG13" s="39">
        <f>'Revenue build'!AG12*Assumptions!$F$21</f>
        <v/>
      </c>
      <c r="AH13" s="39">
        <f>'Revenue build'!AH12*Assumptions!$F$21</f>
        <v/>
      </c>
      <c r="AI13" s="39">
        <f>'Revenue build'!AI12*Assumptions!$F$21</f>
        <v/>
      </c>
      <c r="AJ13" s="39">
        <f>'Revenue build'!AJ12*Assumptions!$F$21</f>
        <v/>
      </c>
      <c r="AK13" s="39">
        <f>'Revenue build'!AK12*Assumptions!$F$21</f>
        <v/>
      </c>
      <c r="AL13" s="39">
        <f>'Revenue build'!AL12*Assumptions!$F$21</f>
        <v/>
      </c>
      <c r="AN13" s="39">
        <f>SUMIF($C$5:$AL$5,AN$5,C13:AL13)</f>
        <v/>
      </c>
      <c r="AO13" s="39">
        <f>SUMIF($C$5:$AL$5,AO$5,C13:AL13)</f>
        <v/>
      </c>
      <c r="AP13" s="39">
        <f>SUMIF($C$5:$AL$5,AP$5,C13:AL13)</f>
        <v/>
      </c>
      <c r="AQ13" s="39">
        <f>SUM(C13:AL13)</f>
        <v/>
      </c>
    </row>
    <row r="14">
      <c r="A14" s="22" t="inlineStr">
        <is>
          <t>Consulting projects (per month, smoothed)</t>
        </is>
      </c>
      <c r="B14" s="4" t="inlineStr">
        <is>
          <t>count</t>
        </is>
      </c>
      <c r="C14" s="23">
        <f>CHOOSE(C6,Assumptions!$F$26,Assumptions!$F$27,Assumptions!$F$28)/12*'Revenue build'!C7</f>
        <v/>
      </c>
      <c r="D14" s="23">
        <f>CHOOSE(D6,Assumptions!$F$26,Assumptions!$F$27,Assumptions!$F$28)/12*'Revenue build'!D7</f>
        <v/>
      </c>
      <c r="E14" s="23">
        <f>CHOOSE(E6,Assumptions!$F$26,Assumptions!$F$27,Assumptions!$F$28)/12*'Revenue build'!E7</f>
        <v/>
      </c>
      <c r="F14" s="23">
        <f>CHOOSE(F6,Assumptions!$F$26,Assumptions!$F$27,Assumptions!$F$28)/12*'Revenue build'!F7</f>
        <v/>
      </c>
      <c r="G14" s="23">
        <f>CHOOSE(G6,Assumptions!$F$26,Assumptions!$F$27,Assumptions!$F$28)/12*'Revenue build'!G7</f>
        <v/>
      </c>
      <c r="H14" s="23">
        <f>CHOOSE(H6,Assumptions!$F$26,Assumptions!$F$27,Assumptions!$F$28)/12*'Revenue build'!H7</f>
        <v/>
      </c>
      <c r="I14" s="23">
        <f>CHOOSE(I6,Assumptions!$F$26,Assumptions!$F$27,Assumptions!$F$28)/12*'Revenue build'!I7</f>
        <v/>
      </c>
      <c r="J14" s="23">
        <f>CHOOSE(J6,Assumptions!$F$26,Assumptions!$F$27,Assumptions!$F$28)/12*'Revenue build'!J7</f>
        <v/>
      </c>
      <c r="K14" s="23">
        <f>CHOOSE(K6,Assumptions!$F$26,Assumptions!$F$27,Assumptions!$F$28)/12*'Revenue build'!K7</f>
        <v/>
      </c>
      <c r="L14" s="23">
        <f>CHOOSE(L6,Assumptions!$F$26,Assumptions!$F$27,Assumptions!$F$28)/12*'Revenue build'!L7</f>
        <v/>
      </c>
      <c r="M14" s="23">
        <f>CHOOSE(M6,Assumptions!$F$26,Assumptions!$F$27,Assumptions!$F$28)/12*'Revenue build'!M7</f>
        <v/>
      </c>
      <c r="N14" s="23">
        <f>CHOOSE(N6,Assumptions!$F$26,Assumptions!$F$27,Assumptions!$F$28)/12*'Revenue build'!N7</f>
        <v/>
      </c>
      <c r="O14" s="23">
        <f>CHOOSE(O6,Assumptions!$F$26,Assumptions!$F$27,Assumptions!$F$28)/12*'Revenue build'!O7</f>
        <v/>
      </c>
      <c r="P14" s="23">
        <f>CHOOSE(P6,Assumptions!$F$26,Assumptions!$F$27,Assumptions!$F$28)/12*'Revenue build'!P7</f>
        <v/>
      </c>
      <c r="Q14" s="23">
        <f>CHOOSE(Q6,Assumptions!$F$26,Assumptions!$F$27,Assumptions!$F$28)/12*'Revenue build'!Q7</f>
        <v/>
      </c>
      <c r="R14" s="23">
        <f>CHOOSE(R6,Assumptions!$F$26,Assumptions!$F$27,Assumptions!$F$28)/12*'Revenue build'!R7</f>
        <v/>
      </c>
      <c r="S14" s="23">
        <f>CHOOSE(S6,Assumptions!$F$26,Assumptions!$F$27,Assumptions!$F$28)/12*'Revenue build'!S7</f>
        <v/>
      </c>
      <c r="T14" s="23">
        <f>CHOOSE(T6,Assumptions!$F$26,Assumptions!$F$27,Assumptions!$F$28)/12*'Revenue build'!T7</f>
        <v/>
      </c>
      <c r="U14" s="23">
        <f>CHOOSE(U6,Assumptions!$F$26,Assumptions!$F$27,Assumptions!$F$28)/12*'Revenue build'!U7</f>
        <v/>
      </c>
      <c r="V14" s="23">
        <f>CHOOSE(V6,Assumptions!$F$26,Assumptions!$F$27,Assumptions!$F$28)/12*'Revenue build'!V7</f>
        <v/>
      </c>
      <c r="W14" s="23">
        <f>CHOOSE(W6,Assumptions!$F$26,Assumptions!$F$27,Assumptions!$F$28)/12*'Revenue build'!W7</f>
        <v/>
      </c>
      <c r="X14" s="23">
        <f>CHOOSE(X6,Assumptions!$F$26,Assumptions!$F$27,Assumptions!$F$28)/12*'Revenue build'!X7</f>
        <v/>
      </c>
      <c r="Y14" s="23">
        <f>CHOOSE(Y6,Assumptions!$F$26,Assumptions!$F$27,Assumptions!$F$28)/12*'Revenue build'!Y7</f>
        <v/>
      </c>
      <c r="Z14" s="23">
        <f>CHOOSE(Z6,Assumptions!$F$26,Assumptions!$F$27,Assumptions!$F$28)/12*'Revenue build'!Z7</f>
        <v/>
      </c>
      <c r="AA14" s="23">
        <f>CHOOSE(AA6,Assumptions!$F$26,Assumptions!$F$27,Assumptions!$F$28)/12*'Revenue build'!AA7</f>
        <v/>
      </c>
      <c r="AB14" s="23">
        <f>CHOOSE(AB6,Assumptions!$F$26,Assumptions!$F$27,Assumptions!$F$28)/12*'Revenue build'!AB7</f>
        <v/>
      </c>
      <c r="AC14" s="23">
        <f>CHOOSE(AC6,Assumptions!$F$26,Assumptions!$F$27,Assumptions!$F$28)/12*'Revenue build'!AC7</f>
        <v/>
      </c>
      <c r="AD14" s="23">
        <f>CHOOSE(AD6,Assumptions!$F$26,Assumptions!$F$27,Assumptions!$F$28)/12*'Revenue build'!AD7</f>
        <v/>
      </c>
      <c r="AE14" s="23">
        <f>CHOOSE(AE6,Assumptions!$F$26,Assumptions!$F$27,Assumptions!$F$28)/12*'Revenue build'!AE7</f>
        <v/>
      </c>
      <c r="AF14" s="23">
        <f>CHOOSE(AF6,Assumptions!$F$26,Assumptions!$F$27,Assumptions!$F$28)/12*'Revenue build'!AF7</f>
        <v/>
      </c>
      <c r="AG14" s="23">
        <f>CHOOSE(AG6,Assumptions!$F$26,Assumptions!$F$27,Assumptions!$F$28)/12*'Revenue build'!AG7</f>
        <v/>
      </c>
      <c r="AH14" s="23">
        <f>CHOOSE(AH6,Assumptions!$F$26,Assumptions!$F$27,Assumptions!$F$28)/12*'Revenue build'!AH7</f>
        <v/>
      </c>
      <c r="AI14" s="23">
        <f>CHOOSE(AI6,Assumptions!$F$26,Assumptions!$F$27,Assumptions!$F$28)/12*'Revenue build'!AI7</f>
        <v/>
      </c>
      <c r="AJ14" s="23">
        <f>CHOOSE(AJ6,Assumptions!$F$26,Assumptions!$F$27,Assumptions!$F$28)/12*'Revenue build'!AJ7</f>
        <v/>
      </c>
      <c r="AK14" s="23">
        <f>CHOOSE(AK6,Assumptions!$F$26,Assumptions!$F$27,Assumptions!$F$28)/12*'Revenue build'!AK7</f>
        <v/>
      </c>
      <c r="AL14" s="23">
        <f>CHOOSE(AL6,Assumptions!$F$26,Assumptions!$F$27,Assumptions!$F$28)/12*'Revenue build'!AL7</f>
        <v/>
      </c>
      <c r="AN14" s="23">
        <f>SUMIF($C$5:$AL$5,AN$5,C14:AL14)</f>
        <v/>
      </c>
      <c r="AO14" s="23">
        <f>SUMIF($C$5:$AL$5,AO$5,C14:AL14)</f>
        <v/>
      </c>
      <c r="AP14" s="23">
        <f>SUMIF($C$5:$AL$5,AP$5,C14:AL14)</f>
        <v/>
      </c>
      <c r="AQ14" s="23">
        <f>SUM(C14:AL14)</f>
        <v/>
      </c>
    </row>
    <row r="15">
      <c r="A15" s="22" t="inlineStr">
        <is>
          <t>Founder days consumed by consulting delivery</t>
        </is>
      </c>
      <c r="B15" s="4" t="inlineStr">
        <is>
          <t>days</t>
        </is>
      </c>
      <c r="C15" s="39">
        <f>'Revenue build'!C14*Assumptions!$F$30</f>
        <v/>
      </c>
      <c r="D15" s="39">
        <f>'Revenue build'!D14*Assumptions!$F$30</f>
        <v/>
      </c>
      <c r="E15" s="39">
        <f>'Revenue build'!E14*Assumptions!$F$30</f>
        <v/>
      </c>
      <c r="F15" s="39">
        <f>'Revenue build'!F14*Assumptions!$F$30</f>
        <v/>
      </c>
      <c r="G15" s="39">
        <f>'Revenue build'!G14*Assumptions!$F$30</f>
        <v/>
      </c>
      <c r="H15" s="39">
        <f>'Revenue build'!H14*Assumptions!$F$30</f>
        <v/>
      </c>
      <c r="I15" s="39">
        <f>'Revenue build'!I14*Assumptions!$F$30</f>
        <v/>
      </c>
      <c r="J15" s="39">
        <f>'Revenue build'!J14*Assumptions!$F$30</f>
        <v/>
      </c>
      <c r="K15" s="39">
        <f>'Revenue build'!K14*Assumptions!$F$30</f>
        <v/>
      </c>
      <c r="L15" s="39">
        <f>'Revenue build'!L14*Assumptions!$F$30</f>
        <v/>
      </c>
      <c r="M15" s="39">
        <f>'Revenue build'!M14*Assumptions!$F$30</f>
        <v/>
      </c>
      <c r="N15" s="39">
        <f>'Revenue build'!N14*Assumptions!$F$30</f>
        <v/>
      </c>
      <c r="O15" s="39">
        <f>'Revenue build'!O14*Assumptions!$F$30</f>
        <v/>
      </c>
      <c r="P15" s="39">
        <f>'Revenue build'!P14*Assumptions!$F$30</f>
        <v/>
      </c>
      <c r="Q15" s="39">
        <f>'Revenue build'!Q14*Assumptions!$F$30</f>
        <v/>
      </c>
      <c r="R15" s="39">
        <f>'Revenue build'!R14*Assumptions!$F$30</f>
        <v/>
      </c>
      <c r="S15" s="39">
        <f>'Revenue build'!S14*Assumptions!$F$30</f>
        <v/>
      </c>
      <c r="T15" s="39">
        <f>'Revenue build'!T14*Assumptions!$F$30</f>
        <v/>
      </c>
      <c r="U15" s="39">
        <f>'Revenue build'!U14*Assumptions!$F$30</f>
        <v/>
      </c>
      <c r="V15" s="39">
        <f>'Revenue build'!V14*Assumptions!$F$30</f>
        <v/>
      </c>
      <c r="W15" s="39">
        <f>'Revenue build'!W14*Assumptions!$F$30</f>
        <v/>
      </c>
      <c r="X15" s="39">
        <f>'Revenue build'!X14*Assumptions!$F$30</f>
        <v/>
      </c>
      <c r="Y15" s="39">
        <f>'Revenue build'!Y14*Assumptions!$F$30</f>
        <v/>
      </c>
      <c r="Z15" s="39">
        <f>'Revenue build'!Z14*Assumptions!$F$30</f>
        <v/>
      </c>
      <c r="AA15" s="39">
        <f>'Revenue build'!AA14*Assumptions!$F$30</f>
        <v/>
      </c>
      <c r="AB15" s="39">
        <f>'Revenue build'!AB14*Assumptions!$F$30</f>
        <v/>
      </c>
      <c r="AC15" s="39">
        <f>'Revenue build'!AC14*Assumptions!$F$30</f>
        <v/>
      </c>
      <c r="AD15" s="39">
        <f>'Revenue build'!AD14*Assumptions!$F$30</f>
        <v/>
      </c>
      <c r="AE15" s="39">
        <f>'Revenue build'!AE14*Assumptions!$F$30</f>
        <v/>
      </c>
      <c r="AF15" s="39">
        <f>'Revenue build'!AF14*Assumptions!$F$30</f>
        <v/>
      </c>
      <c r="AG15" s="39">
        <f>'Revenue build'!AG14*Assumptions!$F$30</f>
        <v/>
      </c>
      <c r="AH15" s="39">
        <f>'Revenue build'!AH14*Assumptions!$F$30</f>
        <v/>
      </c>
      <c r="AI15" s="39">
        <f>'Revenue build'!AI14*Assumptions!$F$30</f>
        <v/>
      </c>
      <c r="AJ15" s="39">
        <f>'Revenue build'!AJ14*Assumptions!$F$30</f>
        <v/>
      </c>
      <c r="AK15" s="39">
        <f>'Revenue build'!AK14*Assumptions!$F$30</f>
        <v/>
      </c>
      <c r="AL15" s="39">
        <f>'Revenue build'!AL14*Assumptions!$F$30</f>
        <v/>
      </c>
      <c r="AN15" s="39">
        <f>SUMIF($C$5:$AL$5,AN$5,C15:AL15)</f>
        <v/>
      </c>
      <c r="AO15" s="39">
        <f>SUMIF($C$5:$AL$5,AO$5,C15:AL15)</f>
        <v/>
      </c>
      <c r="AP15" s="39">
        <f>SUMIF($C$5:$AL$5,AP$5,C15:AL15)</f>
        <v/>
      </c>
      <c r="AQ15" s="39">
        <f>SUM(C15:AL15)</f>
        <v/>
      </c>
    </row>
    <row r="16">
      <c r="A16" s="22" t="inlineStr">
        <is>
          <t>Advisory day-rate days sold (residual capacity)</t>
        </is>
      </c>
      <c r="B16" s="4" t="inlineStr">
        <is>
          <t>days</t>
        </is>
      </c>
      <c r="C16" s="39">
        <f>MAX(0,'Revenue build'!C11-'Revenue build'!C13-'Revenue build'!C15)</f>
        <v/>
      </c>
      <c r="D16" s="39">
        <f>MAX(0,'Revenue build'!D11-'Revenue build'!D13-'Revenue build'!D15)</f>
        <v/>
      </c>
      <c r="E16" s="39">
        <f>MAX(0,'Revenue build'!E11-'Revenue build'!E13-'Revenue build'!E15)</f>
        <v/>
      </c>
      <c r="F16" s="39">
        <f>MAX(0,'Revenue build'!F11-'Revenue build'!F13-'Revenue build'!F15)</f>
        <v/>
      </c>
      <c r="G16" s="39">
        <f>MAX(0,'Revenue build'!G11-'Revenue build'!G13-'Revenue build'!G15)</f>
        <v/>
      </c>
      <c r="H16" s="39">
        <f>MAX(0,'Revenue build'!H11-'Revenue build'!H13-'Revenue build'!H15)</f>
        <v/>
      </c>
      <c r="I16" s="39">
        <f>MAX(0,'Revenue build'!I11-'Revenue build'!I13-'Revenue build'!I15)</f>
        <v/>
      </c>
      <c r="J16" s="39">
        <f>MAX(0,'Revenue build'!J11-'Revenue build'!J13-'Revenue build'!J15)</f>
        <v/>
      </c>
      <c r="K16" s="39">
        <f>MAX(0,'Revenue build'!K11-'Revenue build'!K13-'Revenue build'!K15)</f>
        <v/>
      </c>
      <c r="L16" s="39">
        <f>MAX(0,'Revenue build'!L11-'Revenue build'!L13-'Revenue build'!L15)</f>
        <v/>
      </c>
      <c r="M16" s="39">
        <f>MAX(0,'Revenue build'!M11-'Revenue build'!M13-'Revenue build'!M15)</f>
        <v/>
      </c>
      <c r="N16" s="39">
        <f>MAX(0,'Revenue build'!N11-'Revenue build'!N13-'Revenue build'!N15)</f>
        <v/>
      </c>
      <c r="O16" s="39">
        <f>MAX(0,'Revenue build'!O11-'Revenue build'!O13-'Revenue build'!O15)</f>
        <v/>
      </c>
      <c r="P16" s="39">
        <f>MAX(0,'Revenue build'!P11-'Revenue build'!P13-'Revenue build'!P15)</f>
        <v/>
      </c>
      <c r="Q16" s="39">
        <f>MAX(0,'Revenue build'!Q11-'Revenue build'!Q13-'Revenue build'!Q15)</f>
        <v/>
      </c>
      <c r="R16" s="39">
        <f>MAX(0,'Revenue build'!R11-'Revenue build'!R13-'Revenue build'!R15)</f>
        <v/>
      </c>
      <c r="S16" s="39">
        <f>MAX(0,'Revenue build'!S11-'Revenue build'!S13-'Revenue build'!S15)</f>
        <v/>
      </c>
      <c r="T16" s="39">
        <f>MAX(0,'Revenue build'!T11-'Revenue build'!T13-'Revenue build'!T15)</f>
        <v/>
      </c>
      <c r="U16" s="39">
        <f>MAX(0,'Revenue build'!U11-'Revenue build'!U13-'Revenue build'!U15)</f>
        <v/>
      </c>
      <c r="V16" s="39">
        <f>MAX(0,'Revenue build'!V11-'Revenue build'!V13-'Revenue build'!V15)</f>
        <v/>
      </c>
      <c r="W16" s="39">
        <f>MAX(0,'Revenue build'!W11-'Revenue build'!W13-'Revenue build'!W15)</f>
        <v/>
      </c>
      <c r="X16" s="39">
        <f>MAX(0,'Revenue build'!X11-'Revenue build'!X13-'Revenue build'!X15)</f>
        <v/>
      </c>
      <c r="Y16" s="39">
        <f>MAX(0,'Revenue build'!Y11-'Revenue build'!Y13-'Revenue build'!Y15)</f>
        <v/>
      </c>
      <c r="Z16" s="39">
        <f>MAX(0,'Revenue build'!Z11-'Revenue build'!Z13-'Revenue build'!Z15)</f>
        <v/>
      </c>
      <c r="AA16" s="39">
        <f>MAX(0,'Revenue build'!AA11-'Revenue build'!AA13-'Revenue build'!AA15)</f>
        <v/>
      </c>
      <c r="AB16" s="39">
        <f>MAX(0,'Revenue build'!AB11-'Revenue build'!AB13-'Revenue build'!AB15)</f>
        <v/>
      </c>
      <c r="AC16" s="39">
        <f>MAX(0,'Revenue build'!AC11-'Revenue build'!AC13-'Revenue build'!AC15)</f>
        <v/>
      </c>
      <c r="AD16" s="39">
        <f>MAX(0,'Revenue build'!AD11-'Revenue build'!AD13-'Revenue build'!AD15)</f>
        <v/>
      </c>
      <c r="AE16" s="39">
        <f>MAX(0,'Revenue build'!AE11-'Revenue build'!AE13-'Revenue build'!AE15)</f>
        <v/>
      </c>
      <c r="AF16" s="39">
        <f>MAX(0,'Revenue build'!AF11-'Revenue build'!AF13-'Revenue build'!AF15)</f>
        <v/>
      </c>
      <c r="AG16" s="39">
        <f>MAX(0,'Revenue build'!AG11-'Revenue build'!AG13-'Revenue build'!AG15)</f>
        <v/>
      </c>
      <c r="AH16" s="39">
        <f>MAX(0,'Revenue build'!AH11-'Revenue build'!AH13-'Revenue build'!AH15)</f>
        <v/>
      </c>
      <c r="AI16" s="39">
        <f>MAX(0,'Revenue build'!AI11-'Revenue build'!AI13-'Revenue build'!AI15)</f>
        <v/>
      </c>
      <c r="AJ16" s="39">
        <f>MAX(0,'Revenue build'!AJ11-'Revenue build'!AJ13-'Revenue build'!AJ15)</f>
        <v/>
      </c>
      <c r="AK16" s="39">
        <f>MAX(0,'Revenue build'!AK11-'Revenue build'!AK13-'Revenue build'!AK15)</f>
        <v/>
      </c>
      <c r="AL16" s="39">
        <f>MAX(0,'Revenue build'!AL11-'Revenue build'!AL13-'Revenue build'!AL15)</f>
        <v/>
      </c>
      <c r="AN16" s="39">
        <f>SUMIF($C$5:$AL$5,AN$5,C16:AL16)</f>
        <v/>
      </c>
      <c r="AO16" s="39">
        <f>SUMIF($C$5:$AL$5,AO$5,C16:AL16)</f>
        <v/>
      </c>
      <c r="AP16" s="39">
        <f>SUMIF($C$5:$AL$5,AP$5,C16:AL16)</f>
        <v/>
      </c>
      <c r="AQ16" s="39">
        <f>SUM(C16:AL16)</f>
        <v/>
      </c>
    </row>
    <row r="17">
      <c r="A17" s="22" t="inlineStr">
        <is>
          <t>Founder capacity used by retainers + projects (&gt;100% = associate-dependent)</t>
        </is>
      </c>
      <c r="B17" s="4" t="inlineStr"/>
      <c r="C17" s="25">
        <f>IF('Revenue build'!C11&gt;0,('Revenue build'!C13+'Revenue build'!C15)/'Revenue build'!C11,0)</f>
        <v/>
      </c>
      <c r="D17" s="25">
        <f>IF('Revenue build'!D11&gt;0,('Revenue build'!D13+'Revenue build'!D15)/'Revenue build'!D11,0)</f>
        <v/>
      </c>
      <c r="E17" s="25">
        <f>IF('Revenue build'!E11&gt;0,('Revenue build'!E13+'Revenue build'!E15)/'Revenue build'!E11,0)</f>
        <v/>
      </c>
      <c r="F17" s="25">
        <f>IF('Revenue build'!F11&gt;0,('Revenue build'!F13+'Revenue build'!F15)/'Revenue build'!F11,0)</f>
        <v/>
      </c>
      <c r="G17" s="25">
        <f>IF('Revenue build'!G11&gt;0,('Revenue build'!G13+'Revenue build'!G15)/'Revenue build'!G11,0)</f>
        <v/>
      </c>
      <c r="H17" s="25">
        <f>IF('Revenue build'!H11&gt;0,('Revenue build'!H13+'Revenue build'!H15)/'Revenue build'!H11,0)</f>
        <v/>
      </c>
      <c r="I17" s="25">
        <f>IF('Revenue build'!I11&gt;0,('Revenue build'!I13+'Revenue build'!I15)/'Revenue build'!I11,0)</f>
        <v/>
      </c>
      <c r="J17" s="25">
        <f>IF('Revenue build'!J11&gt;0,('Revenue build'!J13+'Revenue build'!J15)/'Revenue build'!J11,0)</f>
        <v/>
      </c>
      <c r="K17" s="25">
        <f>IF('Revenue build'!K11&gt;0,('Revenue build'!K13+'Revenue build'!K15)/'Revenue build'!K11,0)</f>
        <v/>
      </c>
      <c r="L17" s="25">
        <f>IF('Revenue build'!L11&gt;0,('Revenue build'!L13+'Revenue build'!L15)/'Revenue build'!L11,0)</f>
        <v/>
      </c>
      <c r="M17" s="25">
        <f>IF('Revenue build'!M11&gt;0,('Revenue build'!M13+'Revenue build'!M15)/'Revenue build'!M11,0)</f>
        <v/>
      </c>
      <c r="N17" s="25">
        <f>IF('Revenue build'!N11&gt;0,('Revenue build'!N13+'Revenue build'!N15)/'Revenue build'!N11,0)</f>
        <v/>
      </c>
      <c r="O17" s="25">
        <f>IF('Revenue build'!O11&gt;0,('Revenue build'!O13+'Revenue build'!O15)/'Revenue build'!O11,0)</f>
        <v/>
      </c>
      <c r="P17" s="25">
        <f>IF('Revenue build'!P11&gt;0,('Revenue build'!P13+'Revenue build'!P15)/'Revenue build'!P11,0)</f>
        <v/>
      </c>
      <c r="Q17" s="25">
        <f>IF('Revenue build'!Q11&gt;0,('Revenue build'!Q13+'Revenue build'!Q15)/'Revenue build'!Q11,0)</f>
        <v/>
      </c>
      <c r="R17" s="25">
        <f>IF('Revenue build'!R11&gt;0,('Revenue build'!R13+'Revenue build'!R15)/'Revenue build'!R11,0)</f>
        <v/>
      </c>
      <c r="S17" s="25">
        <f>IF('Revenue build'!S11&gt;0,('Revenue build'!S13+'Revenue build'!S15)/'Revenue build'!S11,0)</f>
        <v/>
      </c>
      <c r="T17" s="25">
        <f>IF('Revenue build'!T11&gt;0,('Revenue build'!T13+'Revenue build'!T15)/'Revenue build'!T11,0)</f>
        <v/>
      </c>
      <c r="U17" s="25">
        <f>IF('Revenue build'!U11&gt;0,('Revenue build'!U13+'Revenue build'!U15)/'Revenue build'!U11,0)</f>
        <v/>
      </c>
      <c r="V17" s="25">
        <f>IF('Revenue build'!V11&gt;0,('Revenue build'!V13+'Revenue build'!V15)/'Revenue build'!V11,0)</f>
        <v/>
      </c>
      <c r="W17" s="25">
        <f>IF('Revenue build'!W11&gt;0,('Revenue build'!W13+'Revenue build'!W15)/'Revenue build'!W11,0)</f>
        <v/>
      </c>
      <c r="X17" s="25">
        <f>IF('Revenue build'!X11&gt;0,('Revenue build'!X13+'Revenue build'!X15)/'Revenue build'!X11,0)</f>
        <v/>
      </c>
      <c r="Y17" s="25">
        <f>IF('Revenue build'!Y11&gt;0,('Revenue build'!Y13+'Revenue build'!Y15)/'Revenue build'!Y11,0)</f>
        <v/>
      </c>
      <c r="Z17" s="25">
        <f>IF('Revenue build'!Z11&gt;0,('Revenue build'!Z13+'Revenue build'!Z15)/'Revenue build'!Z11,0)</f>
        <v/>
      </c>
      <c r="AA17" s="25">
        <f>IF('Revenue build'!AA11&gt;0,('Revenue build'!AA13+'Revenue build'!AA15)/'Revenue build'!AA11,0)</f>
        <v/>
      </c>
      <c r="AB17" s="25">
        <f>IF('Revenue build'!AB11&gt;0,('Revenue build'!AB13+'Revenue build'!AB15)/'Revenue build'!AB11,0)</f>
        <v/>
      </c>
      <c r="AC17" s="25">
        <f>IF('Revenue build'!AC11&gt;0,('Revenue build'!AC13+'Revenue build'!AC15)/'Revenue build'!AC11,0)</f>
        <v/>
      </c>
      <c r="AD17" s="25">
        <f>IF('Revenue build'!AD11&gt;0,('Revenue build'!AD13+'Revenue build'!AD15)/'Revenue build'!AD11,0)</f>
        <v/>
      </c>
      <c r="AE17" s="25">
        <f>IF('Revenue build'!AE11&gt;0,('Revenue build'!AE13+'Revenue build'!AE15)/'Revenue build'!AE11,0)</f>
        <v/>
      </c>
      <c r="AF17" s="25">
        <f>IF('Revenue build'!AF11&gt;0,('Revenue build'!AF13+'Revenue build'!AF15)/'Revenue build'!AF11,0)</f>
        <v/>
      </c>
      <c r="AG17" s="25">
        <f>IF('Revenue build'!AG11&gt;0,('Revenue build'!AG13+'Revenue build'!AG15)/'Revenue build'!AG11,0)</f>
        <v/>
      </c>
      <c r="AH17" s="25">
        <f>IF('Revenue build'!AH11&gt;0,('Revenue build'!AH13+'Revenue build'!AH15)/'Revenue build'!AH11,0)</f>
        <v/>
      </c>
      <c r="AI17" s="25">
        <f>IF('Revenue build'!AI11&gt;0,('Revenue build'!AI13+'Revenue build'!AI15)/'Revenue build'!AI11,0)</f>
        <v/>
      </c>
      <c r="AJ17" s="25">
        <f>IF('Revenue build'!AJ11&gt;0,('Revenue build'!AJ13+'Revenue build'!AJ15)/'Revenue build'!AJ11,0)</f>
        <v/>
      </c>
      <c r="AK17" s="25">
        <f>IF('Revenue build'!AK11&gt;0,('Revenue build'!AK13+'Revenue build'!AK15)/'Revenue build'!AK11,0)</f>
        <v/>
      </c>
      <c r="AL17" s="25">
        <f>IF('Revenue build'!AL11&gt;0,('Revenue build'!AL13+'Revenue build'!AL15)/'Revenue build'!AL11,0)</f>
        <v/>
      </c>
      <c r="AN17" s="25">
        <f>AVERAGEIF($C$5:$AL$5,AN$5,C17:AL17)</f>
        <v/>
      </c>
      <c r="AO17" s="25">
        <f>AVERAGEIF($C$5:$AL$5,AO$5,C17:AL17)</f>
        <v/>
      </c>
      <c r="AP17" s="25">
        <f>AVERAGEIF($C$5:$AL$5,AP$5,C17:AL17)</f>
        <v/>
      </c>
      <c r="AQ17" s="25">
        <f>AVERAGE(C17:AL17)</f>
        <v/>
      </c>
    </row>
    <row r="18">
      <c r="A18" s="22" t="inlineStr">
        <is>
          <t>Founder day rate</t>
        </is>
      </c>
      <c r="B18" s="4" t="inlineStr">
        <is>
          <t>GBP/day</t>
        </is>
      </c>
      <c r="C18" s="19">
        <f>Assumptions!$F$14</f>
        <v/>
      </c>
      <c r="D18" s="19">
        <f>Assumptions!$F$14</f>
        <v/>
      </c>
      <c r="E18" s="19">
        <f>Assumptions!$F$14</f>
        <v/>
      </c>
      <c r="F18" s="19">
        <f>Assumptions!$F$14</f>
        <v/>
      </c>
      <c r="G18" s="19">
        <f>Assumptions!$F$14</f>
        <v/>
      </c>
      <c r="H18" s="19">
        <f>Assumptions!$F$14</f>
        <v/>
      </c>
      <c r="I18" s="19">
        <f>Assumptions!$F$14</f>
        <v/>
      </c>
      <c r="J18" s="19">
        <f>Assumptions!$F$14</f>
        <v/>
      </c>
      <c r="K18" s="19">
        <f>Assumptions!$F$14</f>
        <v/>
      </c>
      <c r="L18" s="19">
        <f>Assumptions!$F$14</f>
        <v/>
      </c>
      <c r="M18" s="19">
        <f>Assumptions!$F$14</f>
        <v/>
      </c>
      <c r="N18" s="19">
        <f>Assumptions!$F$14</f>
        <v/>
      </c>
      <c r="O18" s="19">
        <f>Assumptions!$F$14</f>
        <v/>
      </c>
      <c r="P18" s="19">
        <f>Assumptions!$F$14</f>
        <v/>
      </c>
      <c r="Q18" s="19">
        <f>Assumptions!$F$14</f>
        <v/>
      </c>
      <c r="R18" s="19">
        <f>Assumptions!$F$14</f>
        <v/>
      </c>
      <c r="S18" s="19">
        <f>Assumptions!$F$14</f>
        <v/>
      </c>
      <c r="T18" s="19">
        <f>Assumptions!$F$14</f>
        <v/>
      </c>
      <c r="U18" s="19">
        <f>Assumptions!$F$14</f>
        <v/>
      </c>
      <c r="V18" s="19">
        <f>Assumptions!$F$14</f>
        <v/>
      </c>
      <c r="W18" s="19">
        <f>Assumptions!$F$14</f>
        <v/>
      </c>
      <c r="X18" s="19">
        <f>Assumptions!$F$14</f>
        <v/>
      </c>
      <c r="Y18" s="19">
        <f>Assumptions!$F$14</f>
        <v/>
      </c>
      <c r="Z18" s="19">
        <f>Assumptions!$F$14</f>
        <v/>
      </c>
      <c r="AA18" s="19">
        <f>Assumptions!$F$14</f>
        <v/>
      </c>
      <c r="AB18" s="19">
        <f>Assumptions!$F$14</f>
        <v/>
      </c>
      <c r="AC18" s="19">
        <f>Assumptions!$F$14</f>
        <v/>
      </c>
      <c r="AD18" s="19">
        <f>Assumptions!$F$14</f>
        <v/>
      </c>
      <c r="AE18" s="19">
        <f>Assumptions!$F$14</f>
        <v/>
      </c>
      <c r="AF18" s="19">
        <f>Assumptions!$F$14</f>
        <v/>
      </c>
      <c r="AG18" s="19">
        <f>Assumptions!$F$14</f>
        <v/>
      </c>
      <c r="AH18" s="19">
        <f>Assumptions!$F$14</f>
        <v/>
      </c>
      <c r="AI18" s="19">
        <f>Assumptions!$F$14</f>
        <v/>
      </c>
      <c r="AJ18" s="19">
        <f>Assumptions!$F$14</f>
        <v/>
      </c>
      <c r="AK18" s="19">
        <f>Assumptions!$F$14</f>
        <v/>
      </c>
      <c r="AL18" s="19">
        <f>Assumptions!$F$14</f>
        <v/>
      </c>
      <c r="AN18" s="19">
        <f>AVERAGEIF($C$5:$AL$5,AN$5,C18:AL18)</f>
        <v/>
      </c>
      <c r="AO18" s="19">
        <f>AVERAGEIF($C$5:$AL$5,AO$5,C18:AL18)</f>
        <v/>
      </c>
      <c r="AP18" s="19">
        <f>AVERAGEIF($C$5:$AL$5,AP$5,C18:AL18)</f>
        <v/>
      </c>
      <c r="AQ18" s="19">
        <f>AVERAGE(C18:AL18)</f>
        <v/>
      </c>
    </row>
    <row r="19">
      <c r="A19" s="22" t="inlineStr">
        <is>
          <t>Advisory day-rate revenue</t>
        </is>
      </c>
      <c r="B19" s="4" t="inlineStr"/>
      <c r="C19" s="19">
        <f>'Revenue build'!C16*'Revenue build'!C18</f>
        <v/>
      </c>
      <c r="D19" s="19">
        <f>'Revenue build'!D16*'Revenue build'!D18</f>
        <v/>
      </c>
      <c r="E19" s="19">
        <f>'Revenue build'!E16*'Revenue build'!E18</f>
        <v/>
      </c>
      <c r="F19" s="19">
        <f>'Revenue build'!F16*'Revenue build'!F18</f>
        <v/>
      </c>
      <c r="G19" s="19">
        <f>'Revenue build'!G16*'Revenue build'!G18</f>
        <v/>
      </c>
      <c r="H19" s="19">
        <f>'Revenue build'!H16*'Revenue build'!H18</f>
        <v/>
      </c>
      <c r="I19" s="19">
        <f>'Revenue build'!I16*'Revenue build'!I18</f>
        <v/>
      </c>
      <c r="J19" s="19">
        <f>'Revenue build'!J16*'Revenue build'!J18</f>
        <v/>
      </c>
      <c r="K19" s="19">
        <f>'Revenue build'!K16*'Revenue build'!K18</f>
        <v/>
      </c>
      <c r="L19" s="19">
        <f>'Revenue build'!L16*'Revenue build'!L18</f>
        <v/>
      </c>
      <c r="M19" s="19">
        <f>'Revenue build'!M16*'Revenue build'!M18</f>
        <v/>
      </c>
      <c r="N19" s="19">
        <f>'Revenue build'!N16*'Revenue build'!N18</f>
        <v/>
      </c>
      <c r="O19" s="19">
        <f>'Revenue build'!O16*'Revenue build'!O18</f>
        <v/>
      </c>
      <c r="P19" s="19">
        <f>'Revenue build'!P16*'Revenue build'!P18</f>
        <v/>
      </c>
      <c r="Q19" s="19">
        <f>'Revenue build'!Q16*'Revenue build'!Q18</f>
        <v/>
      </c>
      <c r="R19" s="19">
        <f>'Revenue build'!R16*'Revenue build'!R18</f>
        <v/>
      </c>
      <c r="S19" s="19">
        <f>'Revenue build'!S16*'Revenue build'!S18</f>
        <v/>
      </c>
      <c r="T19" s="19">
        <f>'Revenue build'!T16*'Revenue build'!T18</f>
        <v/>
      </c>
      <c r="U19" s="19">
        <f>'Revenue build'!U16*'Revenue build'!U18</f>
        <v/>
      </c>
      <c r="V19" s="19">
        <f>'Revenue build'!V16*'Revenue build'!V18</f>
        <v/>
      </c>
      <c r="W19" s="19">
        <f>'Revenue build'!W16*'Revenue build'!W18</f>
        <v/>
      </c>
      <c r="X19" s="19">
        <f>'Revenue build'!X16*'Revenue build'!X18</f>
        <v/>
      </c>
      <c r="Y19" s="19">
        <f>'Revenue build'!Y16*'Revenue build'!Y18</f>
        <v/>
      </c>
      <c r="Z19" s="19">
        <f>'Revenue build'!Z16*'Revenue build'!Z18</f>
        <v/>
      </c>
      <c r="AA19" s="19">
        <f>'Revenue build'!AA16*'Revenue build'!AA18</f>
        <v/>
      </c>
      <c r="AB19" s="19">
        <f>'Revenue build'!AB16*'Revenue build'!AB18</f>
        <v/>
      </c>
      <c r="AC19" s="19">
        <f>'Revenue build'!AC16*'Revenue build'!AC18</f>
        <v/>
      </c>
      <c r="AD19" s="19">
        <f>'Revenue build'!AD16*'Revenue build'!AD18</f>
        <v/>
      </c>
      <c r="AE19" s="19">
        <f>'Revenue build'!AE16*'Revenue build'!AE18</f>
        <v/>
      </c>
      <c r="AF19" s="19">
        <f>'Revenue build'!AF16*'Revenue build'!AF18</f>
        <v/>
      </c>
      <c r="AG19" s="19">
        <f>'Revenue build'!AG16*'Revenue build'!AG18</f>
        <v/>
      </c>
      <c r="AH19" s="19">
        <f>'Revenue build'!AH16*'Revenue build'!AH18</f>
        <v/>
      </c>
      <c r="AI19" s="19">
        <f>'Revenue build'!AI16*'Revenue build'!AI18</f>
        <v/>
      </c>
      <c r="AJ19" s="19">
        <f>'Revenue build'!AJ16*'Revenue build'!AJ18</f>
        <v/>
      </c>
      <c r="AK19" s="19">
        <f>'Revenue build'!AK16*'Revenue build'!AK18</f>
        <v/>
      </c>
      <c r="AL19" s="19">
        <f>'Revenue build'!AL16*'Revenue build'!AL18</f>
        <v/>
      </c>
      <c r="AN19" s="19">
        <f>SUMIF($C$5:$AL$5,AN$5,C19:AL19)</f>
        <v/>
      </c>
      <c r="AO19" s="19">
        <f>SUMIF($C$5:$AL$5,AO$5,C19:AL19)</f>
        <v/>
      </c>
      <c r="AP19" s="19">
        <f>SUMIF($C$5:$AL$5,AP$5,C19:AL19)</f>
        <v/>
      </c>
      <c r="AQ19" s="19">
        <f>SUM(C19:AL19)</f>
        <v/>
      </c>
    </row>
    <row r="20">
      <c r="A20" s="22" t="inlineStr">
        <is>
          <t>Retainer revenue</t>
        </is>
      </c>
      <c r="B20" s="4" t="inlineStr"/>
      <c r="C20" s="19">
        <f>'Revenue build'!C12*Assumptions!$F$20</f>
        <v/>
      </c>
      <c r="D20" s="19">
        <f>'Revenue build'!D12*Assumptions!$F$20</f>
        <v/>
      </c>
      <c r="E20" s="19">
        <f>'Revenue build'!E12*Assumptions!$F$20</f>
        <v/>
      </c>
      <c r="F20" s="19">
        <f>'Revenue build'!F12*Assumptions!$F$20</f>
        <v/>
      </c>
      <c r="G20" s="19">
        <f>'Revenue build'!G12*Assumptions!$F$20</f>
        <v/>
      </c>
      <c r="H20" s="19">
        <f>'Revenue build'!H12*Assumptions!$F$20</f>
        <v/>
      </c>
      <c r="I20" s="19">
        <f>'Revenue build'!I12*Assumptions!$F$20</f>
        <v/>
      </c>
      <c r="J20" s="19">
        <f>'Revenue build'!J12*Assumptions!$F$20</f>
        <v/>
      </c>
      <c r="K20" s="19">
        <f>'Revenue build'!K12*Assumptions!$F$20</f>
        <v/>
      </c>
      <c r="L20" s="19">
        <f>'Revenue build'!L12*Assumptions!$F$20</f>
        <v/>
      </c>
      <c r="M20" s="19">
        <f>'Revenue build'!M12*Assumptions!$F$20</f>
        <v/>
      </c>
      <c r="N20" s="19">
        <f>'Revenue build'!N12*Assumptions!$F$20</f>
        <v/>
      </c>
      <c r="O20" s="19">
        <f>'Revenue build'!O12*Assumptions!$F$20</f>
        <v/>
      </c>
      <c r="P20" s="19">
        <f>'Revenue build'!P12*Assumptions!$F$20</f>
        <v/>
      </c>
      <c r="Q20" s="19">
        <f>'Revenue build'!Q12*Assumptions!$F$20</f>
        <v/>
      </c>
      <c r="R20" s="19">
        <f>'Revenue build'!R12*Assumptions!$F$20</f>
        <v/>
      </c>
      <c r="S20" s="19">
        <f>'Revenue build'!S12*Assumptions!$F$20</f>
        <v/>
      </c>
      <c r="T20" s="19">
        <f>'Revenue build'!T12*Assumptions!$F$20</f>
        <v/>
      </c>
      <c r="U20" s="19">
        <f>'Revenue build'!U12*Assumptions!$F$20</f>
        <v/>
      </c>
      <c r="V20" s="19">
        <f>'Revenue build'!V12*Assumptions!$F$20</f>
        <v/>
      </c>
      <c r="W20" s="19">
        <f>'Revenue build'!W12*Assumptions!$F$20</f>
        <v/>
      </c>
      <c r="X20" s="19">
        <f>'Revenue build'!X12*Assumptions!$F$20</f>
        <v/>
      </c>
      <c r="Y20" s="19">
        <f>'Revenue build'!Y12*Assumptions!$F$20</f>
        <v/>
      </c>
      <c r="Z20" s="19">
        <f>'Revenue build'!Z12*Assumptions!$F$20</f>
        <v/>
      </c>
      <c r="AA20" s="19">
        <f>'Revenue build'!AA12*Assumptions!$F$20</f>
        <v/>
      </c>
      <c r="AB20" s="19">
        <f>'Revenue build'!AB12*Assumptions!$F$20</f>
        <v/>
      </c>
      <c r="AC20" s="19">
        <f>'Revenue build'!AC12*Assumptions!$F$20</f>
        <v/>
      </c>
      <c r="AD20" s="19">
        <f>'Revenue build'!AD12*Assumptions!$F$20</f>
        <v/>
      </c>
      <c r="AE20" s="19">
        <f>'Revenue build'!AE12*Assumptions!$F$20</f>
        <v/>
      </c>
      <c r="AF20" s="19">
        <f>'Revenue build'!AF12*Assumptions!$F$20</f>
        <v/>
      </c>
      <c r="AG20" s="19">
        <f>'Revenue build'!AG12*Assumptions!$F$20</f>
        <v/>
      </c>
      <c r="AH20" s="19">
        <f>'Revenue build'!AH12*Assumptions!$F$20</f>
        <v/>
      </c>
      <c r="AI20" s="19">
        <f>'Revenue build'!AI12*Assumptions!$F$20</f>
        <v/>
      </c>
      <c r="AJ20" s="19">
        <f>'Revenue build'!AJ12*Assumptions!$F$20</f>
        <v/>
      </c>
      <c r="AK20" s="19">
        <f>'Revenue build'!AK12*Assumptions!$F$20</f>
        <v/>
      </c>
      <c r="AL20" s="19">
        <f>'Revenue build'!AL12*Assumptions!$F$20</f>
        <v/>
      </c>
      <c r="AN20" s="19">
        <f>SUMIF($C$5:$AL$5,AN$5,C20:AL20)</f>
        <v/>
      </c>
      <c r="AO20" s="19">
        <f>SUMIF($C$5:$AL$5,AO$5,C20:AL20)</f>
        <v/>
      </c>
      <c r="AP20" s="19">
        <f>SUMIF($C$5:$AL$5,AP$5,C20:AL20)</f>
        <v/>
      </c>
      <c r="AQ20" s="19">
        <f>SUM(C20:AL20)</f>
        <v/>
      </c>
    </row>
    <row r="21">
      <c r="A21" s="22" t="inlineStr">
        <is>
          <t>Senior consultant billable days</t>
        </is>
      </c>
      <c r="B21" s="4" t="inlineStr">
        <is>
          <t>days</t>
        </is>
      </c>
      <c r="C21" s="39">
        <f>'Headcount'!C17*Assumptions!$F$23</f>
        <v/>
      </c>
      <c r="D21" s="39">
        <f>'Headcount'!D17*Assumptions!$F$23</f>
        <v/>
      </c>
      <c r="E21" s="39">
        <f>'Headcount'!E17*Assumptions!$F$23</f>
        <v/>
      </c>
      <c r="F21" s="39">
        <f>'Headcount'!F17*Assumptions!$F$23</f>
        <v/>
      </c>
      <c r="G21" s="39">
        <f>'Headcount'!G17*Assumptions!$F$23</f>
        <v/>
      </c>
      <c r="H21" s="39">
        <f>'Headcount'!H17*Assumptions!$F$23</f>
        <v/>
      </c>
      <c r="I21" s="39">
        <f>'Headcount'!I17*Assumptions!$F$23</f>
        <v/>
      </c>
      <c r="J21" s="39">
        <f>'Headcount'!J17*Assumptions!$F$23</f>
        <v/>
      </c>
      <c r="K21" s="39">
        <f>'Headcount'!K17*Assumptions!$F$23</f>
        <v/>
      </c>
      <c r="L21" s="39">
        <f>'Headcount'!L17*Assumptions!$F$23</f>
        <v/>
      </c>
      <c r="M21" s="39">
        <f>'Headcount'!M17*Assumptions!$F$23</f>
        <v/>
      </c>
      <c r="N21" s="39">
        <f>'Headcount'!N17*Assumptions!$F$23</f>
        <v/>
      </c>
      <c r="O21" s="39">
        <f>'Headcount'!O17*Assumptions!$F$23</f>
        <v/>
      </c>
      <c r="P21" s="39">
        <f>'Headcount'!P17*Assumptions!$F$23</f>
        <v/>
      </c>
      <c r="Q21" s="39">
        <f>'Headcount'!Q17*Assumptions!$F$23</f>
        <v/>
      </c>
      <c r="R21" s="39">
        <f>'Headcount'!R17*Assumptions!$F$23</f>
        <v/>
      </c>
      <c r="S21" s="39">
        <f>'Headcount'!S17*Assumptions!$F$23</f>
        <v/>
      </c>
      <c r="T21" s="39">
        <f>'Headcount'!T17*Assumptions!$F$23</f>
        <v/>
      </c>
      <c r="U21" s="39">
        <f>'Headcount'!U17*Assumptions!$F$23</f>
        <v/>
      </c>
      <c r="V21" s="39">
        <f>'Headcount'!V17*Assumptions!$F$23</f>
        <v/>
      </c>
      <c r="W21" s="39">
        <f>'Headcount'!W17*Assumptions!$F$23</f>
        <v/>
      </c>
      <c r="X21" s="39">
        <f>'Headcount'!X17*Assumptions!$F$23</f>
        <v/>
      </c>
      <c r="Y21" s="39">
        <f>'Headcount'!Y17*Assumptions!$F$23</f>
        <v/>
      </c>
      <c r="Z21" s="39">
        <f>'Headcount'!Z17*Assumptions!$F$23</f>
        <v/>
      </c>
      <c r="AA21" s="39">
        <f>'Headcount'!AA17*Assumptions!$F$23</f>
        <v/>
      </c>
      <c r="AB21" s="39">
        <f>'Headcount'!AB17*Assumptions!$F$23</f>
        <v/>
      </c>
      <c r="AC21" s="39">
        <f>'Headcount'!AC17*Assumptions!$F$23</f>
        <v/>
      </c>
      <c r="AD21" s="39">
        <f>'Headcount'!AD17*Assumptions!$F$23</f>
        <v/>
      </c>
      <c r="AE21" s="39">
        <f>'Headcount'!AE17*Assumptions!$F$23</f>
        <v/>
      </c>
      <c r="AF21" s="39">
        <f>'Headcount'!AF17*Assumptions!$F$23</f>
        <v/>
      </c>
      <c r="AG21" s="39">
        <f>'Headcount'!AG17*Assumptions!$F$23</f>
        <v/>
      </c>
      <c r="AH21" s="39">
        <f>'Headcount'!AH17*Assumptions!$F$23</f>
        <v/>
      </c>
      <c r="AI21" s="39">
        <f>'Headcount'!AI17*Assumptions!$F$23</f>
        <v/>
      </c>
      <c r="AJ21" s="39">
        <f>'Headcount'!AJ17*Assumptions!$F$23</f>
        <v/>
      </c>
      <c r="AK21" s="39">
        <f>'Headcount'!AK17*Assumptions!$F$23</f>
        <v/>
      </c>
      <c r="AL21" s="39">
        <f>'Headcount'!AL17*Assumptions!$F$23</f>
        <v/>
      </c>
      <c r="AN21" s="39">
        <f>SUMIF($C$5:$AL$5,AN$5,C21:AL21)</f>
        <v/>
      </c>
      <c r="AO21" s="39">
        <f>SUMIF($C$5:$AL$5,AO$5,C21:AL21)</f>
        <v/>
      </c>
      <c r="AP21" s="39">
        <f>SUMIF($C$5:$AL$5,AP$5,C21:AL21)</f>
        <v/>
      </c>
      <c r="AQ21" s="39">
        <f>SUM(C21:AL21)</f>
        <v/>
      </c>
    </row>
    <row r="22">
      <c r="A22" s="22" t="inlineStr">
        <is>
          <t>Senior consultant revenue</t>
        </is>
      </c>
      <c r="B22" s="4" t="inlineStr"/>
      <c r="C22" s="19">
        <f>'Revenue build'!C21*Assumptions!$F$24</f>
        <v/>
      </c>
      <c r="D22" s="19">
        <f>'Revenue build'!D21*Assumptions!$F$24</f>
        <v/>
      </c>
      <c r="E22" s="19">
        <f>'Revenue build'!E21*Assumptions!$F$24</f>
        <v/>
      </c>
      <c r="F22" s="19">
        <f>'Revenue build'!F21*Assumptions!$F$24</f>
        <v/>
      </c>
      <c r="G22" s="19">
        <f>'Revenue build'!G21*Assumptions!$F$24</f>
        <v/>
      </c>
      <c r="H22" s="19">
        <f>'Revenue build'!H21*Assumptions!$F$24</f>
        <v/>
      </c>
      <c r="I22" s="19">
        <f>'Revenue build'!I21*Assumptions!$F$24</f>
        <v/>
      </c>
      <c r="J22" s="19">
        <f>'Revenue build'!J21*Assumptions!$F$24</f>
        <v/>
      </c>
      <c r="K22" s="19">
        <f>'Revenue build'!K21*Assumptions!$F$24</f>
        <v/>
      </c>
      <c r="L22" s="19">
        <f>'Revenue build'!L21*Assumptions!$F$24</f>
        <v/>
      </c>
      <c r="M22" s="19">
        <f>'Revenue build'!M21*Assumptions!$F$24</f>
        <v/>
      </c>
      <c r="N22" s="19">
        <f>'Revenue build'!N21*Assumptions!$F$24</f>
        <v/>
      </c>
      <c r="O22" s="19">
        <f>'Revenue build'!O21*Assumptions!$F$24</f>
        <v/>
      </c>
      <c r="P22" s="19">
        <f>'Revenue build'!P21*Assumptions!$F$24</f>
        <v/>
      </c>
      <c r="Q22" s="19">
        <f>'Revenue build'!Q21*Assumptions!$F$24</f>
        <v/>
      </c>
      <c r="R22" s="19">
        <f>'Revenue build'!R21*Assumptions!$F$24</f>
        <v/>
      </c>
      <c r="S22" s="19">
        <f>'Revenue build'!S21*Assumptions!$F$24</f>
        <v/>
      </c>
      <c r="T22" s="19">
        <f>'Revenue build'!T21*Assumptions!$F$24</f>
        <v/>
      </c>
      <c r="U22" s="19">
        <f>'Revenue build'!U21*Assumptions!$F$24</f>
        <v/>
      </c>
      <c r="V22" s="19">
        <f>'Revenue build'!V21*Assumptions!$F$24</f>
        <v/>
      </c>
      <c r="W22" s="19">
        <f>'Revenue build'!W21*Assumptions!$F$24</f>
        <v/>
      </c>
      <c r="X22" s="19">
        <f>'Revenue build'!X21*Assumptions!$F$24</f>
        <v/>
      </c>
      <c r="Y22" s="19">
        <f>'Revenue build'!Y21*Assumptions!$F$24</f>
        <v/>
      </c>
      <c r="Z22" s="19">
        <f>'Revenue build'!Z21*Assumptions!$F$24</f>
        <v/>
      </c>
      <c r="AA22" s="19">
        <f>'Revenue build'!AA21*Assumptions!$F$24</f>
        <v/>
      </c>
      <c r="AB22" s="19">
        <f>'Revenue build'!AB21*Assumptions!$F$24</f>
        <v/>
      </c>
      <c r="AC22" s="19">
        <f>'Revenue build'!AC21*Assumptions!$F$24</f>
        <v/>
      </c>
      <c r="AD22" s="19">
        <f>'Revenue build'!AD21*Assumptions!$F$24</f>
        <v/>
      </c>
      <c r="AE22" s="19">
        <f>'Revenue build'!AE21*Assumptions!$F$24</f>
        <v/>
      </c>
      <c r="AF22" s="19">
        <f>'Revenue build'!AF21*Assumptions!$F$24</f>
        <v/>
      </c>
      <c r="AG22" s="19">
        <f>'Revenue build'!AG21*Assumptions!$F$24</f>
        <v/>
      </c>
      <c r="AH22" s="19">
        <f>'Revenue build'!AH21*Assumptions!$F$24</f>
        <v/>
      </c>
      <c r="AI22" s="19">
        <f>'Revenue build'!AI21*Assumptions!$F$24</f>
        <v/>
      </c>
      <c r="AJ22" s="19">
        <f>'Revenue build'!AJ21*Assumptions!$F$24</f>
        <v/>
      </c>
      <c r="AK22" s="19">
        <f>'Revenue build'!AK21*Assumptions!$F$24</f>
        <v/>
      </c>
      <c r="AL22" s="19">
        <f>'Revenue build'!AL21*Assumptions!$F$24</f>
        <v/>
      </c>
      <c r="AN22" s="19">
        <f>SUMIF($C$5:$AL$5,AN$5,C22:AL22)</f>
        <v/>
      </c>
      <c r="AO22" s="19">
        <f>SUMIF($C$5:$AL$5,AO$5,C22:AL22)</f>
        <v/>
      </c>
      <c r="AP22" s="19">
        <f>SUMIF($C$5:$AL$5,AP$5,C22:AL22)</f>
        <v/>
      </c>
      <c r="AQ22" s="19">
        <f>SUM(C22:AL22)</f>
        <v/>
      </c>
    </row>
    <row r="23">
      <c r="A23" s="7" t="inlineStr">
        <is>
          <t>ADVISORY REVENUE</t>
        </is>
      </c>
      <c r="B23" s="4" t="inlineStr"/>
      <c r="C23" s="26">
        <f>'Revenue build'!C19+'Revenue build'!C20+'Revenue build'!C22</f>
        <v/>
      </c>
      <c r="D23" s="26">
        <f>'Revenue build'!D19+'Revenue build'!D20+'Revenue build'!D22</f>
        <v/>
      </c>
      <c r="E23" s="26">
        <f>'Revenue build'!E19+'Revenue build'!E20+'Revenue build'!E22</f>
        <v/>
      </c>
      <c r="F23" s="26">
        <f>'Revenue build'!F19+'Revenue build'!F20+'Revenue build'!F22</f>
        <v/>
      </c>
      <c r="G23" s="26">
        <f>'Revenue build'!G19+'Revenue build'!G20+'Revenue build'!G22</f>
        <v/>
      </c>
      <c r="H23" s="26">
        <f>'Revenue build'!H19+'Revenue build'!H20+'Revenue build'!H22</f>
        <v/>
      </c>
      <c r="I23" s="26">
        <f>'Revenue build'!I19+'Revenue build'!I20+'Revenue build'!I22</f>
        <v/>
      </c>
      <c r="J23" s="26">
        <f>'Revenue build'!J19+'Revenue build'!J20+'Revenue build'!J22</f>
        <v/>
      </c>
      <c r="K23" s="26">
        <f>'Revenue build'!K19+'Revenue build'!K20+'Revenue build'!K22</f>
        <v/>
      </c>
      <c r="L23" s="26">
        <f>'Revenue build'!L19+'Revenue build'!L20+'Revenue build'!L22</f>
        <v/>
      </c>
      <c r="M23" s="26">
        <f>'Revenue build'!M19+'Revenue build'!M20+'Revenue build'!M22</f>
        <v/>
      </c>
      <c r="N23" s="26">
        <f>'Revenue build'!N19+'Revenue build'!N20+'Revenue build'!N22</f>
        <v/>
      </c>
      <c r="O23" s="26">
        <f>'Revenue build'!O19+'Revenue build'!O20+'Revenue build'!O22</f>
        <v/>
      </c>
      <c r="P23" s="26">
        <f>'Revenue build'!P19+'Revenue build'!P20+'Revenue build'!P22</f>
        <v/>
      </c>
      <c r="Q23" s="26">
        <f>'Revenue build'!Q19+'Revenue build'!Q20+'Revenue build'!Q22</f>
        <v/>
      </c>
      <c r="R23" s="26">
        <f>'Revenue build'!R19+'Revenue build'!R20+'Revenue build'!R22</f>
        <v/>
      </c>
      <c r="S23" s="26">
        <f>'Revenue build'!S19+'Revenue build'!S20+'Revenue build'!S22</f>
        <v/>
      </c>
      <c r="T23" s="26">
        <f>'Revenue build'!T19+'Revenue build'!T20+'Revenue build'!T22</f>
        <v/>
      </c>
      <c r="U23" s="26">
        <f>'Revenue build'!U19+'Revenue build'!U20+'Revenue build'!U22</f>
        <v/>
      </c>
      <c r="V23" s="26">
        <f>'Revenue build'!V19+'Revenue build'!V20+'Revenue build'!V22</f>
        <v/>
      </c>
      <c r="W23" s="26">
        <f>'Revenue build'!W19+'Revenue build'!W20+'Revenue build'!W22</f>
        <v/>
      </c>
      <c r="X23" s="26">
        <f>'Revenue build'!X19+'Revenue build'!X20+'Revenue build'!X22</f>
        <v/>
      </c>
      <c r="Y23" s="26">
        <f>'Revenue build'!Y19+'Revenue build'!Y20+'Revenue build'!Y22</f>
        <v/>
      </c>
      <c r="Z23" s="26">
        <f>'Revenue build'!Z19+'Revenue build'!Z20+'Revenue build'!Z22</f>
        <v/>
      </c>
      <c r="AA23" s="26">
        <f>'Revenue build'!AA19+'Revenue build'!AA20+'Revenue build'!AA22</f>
        <v/>
      </c>
      <c r="AB23" s="26">
        <f>'Revenue build'!AB19+'Revenue build'!AB20+'Revenue build'!AB22</f>
        <v/>
      </c>
      <c r="AC23" s="26">
        <f>'Revenue build'!AC19+'Revenue build'!AC20+'Revenue build'!AC22</f>
        <v/>
      </c>
      <c r="AD23" s="26">
        <f>'Revenue build'!AD19+'Revenue build'!AD20+'Revenue build'!AD22</f>
        <v/>
      </c>
      <c r="AE23" s="26">
        <f>'Revenue build'!AE19+'Revenue build'!AE20+'Revenue build'!AE22</f>
        <v/>
      </c>
      <c r="AF23" s="26">
        <f>'Revenue build'!AF19+'Revenue build'!AF20+'Revenue build'!AF22</f>
        <v/>
      </c>
      <c r="AG23" s="26">
        <f>'Revenue build'!AG19+'Revenue build'!AG20+'Revenue build'!AG22</f>
        <v/>
      </c>
      <c r="AH23" s="26">
        <f>'Revenue build'!AH19+'Revenue build'!AH20+'Revenue build'!AH22</f>
        <v/>
      </c>
      <c r="AI23" s="26">
        <f>'Revenue build'!AI19+'Revenue build'!AI20+'Revenue build'!AI22</f>
        <v/>
      </c>
      <c r="AJ23" s="26">
        <f>'Revenue build'!AJ19+'Revenue build'!AJ20+'Revenue build'!AJ22</f>
        <v/>
      </c>
      <c r="AK23" s="26">
        <f>'Revenue build'!AK19+'Revenue build'!AK20+'Revenue build'!AK22</f>
        <v/>
      </c>
      <c r="AL23" s="26">
        <f>'Revenue build'!AL19+'Revenue build'!AL20+'Revenue build'!AL22</f>
        <v/>
      </c>
      <c r="AN23" s="26">
        <f>SUMIF($C$5:$AL$5,AN$5,C23:AL23)</f>
        <v/>
      </c>
      <c r="AO23" s="26">
        <f>SUMIF($C$5:$AL$5,AO$5,C23:AL23)</f>
        <v/>
      </c>
      <c r="AP23" s="26">
        <f>SUMIF($C$5:$AL$5,AP$5,C23:AL23)</f>
        <v/>
      </c>
      <c r="AQ23" s="26">
        <f>SUM(C23:AL23)</f>
        <v/>
      </c>
    </row>
    <row r="25">
      <c r="A25" s="9" t="inlineStr">
        <is>
          <t>CONSULTING</t>
        </is>
      </c>
      <c r="B25" s="10" t="n"/>
      <c r="C25" s="10" t="n"/>
      <c r="D25" s="10" t="n"/>
      <c r="E25" s="10" t="n"/>
      <c r="F25" s="10" t="n"/>
      <c r="G25" s="10" t="n"/>
      <c r="H25" s="10" t="n"/>
      <c r="I25" s="10" t="n"/>
      <c r="J25" s="10" t="n"/>
      <c r="K25" s="10" t="n"/>
      <c r="L25" s="10" t="n"/>
      <c r="M25" s="10" t="n"/>
      <c r="N25" s="10" t="n"/>
      <c r="O25" s="10" t="n"/>
      <c r="P25" s="10" t="n"/>
      <c r="Q25" s="10" t="n"/>
      <c r="R25" s="10" t="n"/>
      <c r="S25" s="10" t="n"/>
      <c r="T25" s="10" t="n"/>
      <c r="U25" s="10" t="n"/>
      <c r="V25" s="10" t="n"/>
      <c r="W25" s="10" t="n"/>
      <c r="X25" s="10" t="n"/>
      <c r="Y25" s="10" t="n"/>
      <c r="Z25" s="10" t="n"/>
      <c r="AA25" s="10" t="n"/>
      <c r="AB25" s="10" t="n"/>
      <c r="AC25" s="10" t="n"/>
      <c r="AD25" s="10" t="n"/>
      <c r="AE25" s="10" t="n"/>
      <c r="AF25" s="10" t="n"/>
      <c r="AG25" s="10" t="n"/>
      <c r="AH25" s="10" t="n"/>
      <c r="AI25" s="10" t="n"/>
      <c r="AJ25" s="10" t="n"/>
      <c r="AK25" s="10" t="n"/>
      <c r="AL25" s="10" t="n"/>
      <c r="AM25" s="10" t="n"/>
      <c r="AN25" s="10" t="n"/>
      <c r="AO25" s="10" t="n"/>
      <c r="AP25" s="10" t="n"/>
      <c r="AQ25" s="10" t="n"/>
    </row>
    <row r="26">
      <c r="A26" s="22" t="inlineStr">
        <is>
          <t>Average project value</t>
        </is>
      </c>
      <c r="B26" s="4" t="inlineStr">
        <is>
          <t>GBP</t>
        </is>
      </c>
      <c r="C26" s="19">
        <f>Assumptions!$F$29</f>
        <v/>
      </c>
      <c r="D26" s="19">
        <f>Assumptions!$F$29</f>
        <v/>
      </c>
      <c r="E26" s="19">
        <f>Assumptions!$F$29</f>
        <v/>
      </c>
      <c r="F26" s="19">
        <f>Assumptions!$F$29</f>
        <v/>
      </c>
      <c r="G26" s="19">
        <f>Assumptions!$F$29</f>
        <v/>
      </c>
      <c r="H26" s="19">
        <f>Assumptions!$F$29</f>
        <v/>
      </c>
      <c r="I26" s="19">
        <f>Assumptions!$F$29</f>
        <v/>
      </c>
      <c r="J26" s="19">
        <f>Assumptions!$F$29</f>
        <v/>
      </c>
      <c r="K26" s="19">
        <f>Assumptions!$F$29</f>
        <v/>
      </c>
      <c r="L26" s="19">
        <f>Assumptions!$F$29</f>
        <v/>
      </c>
      <c r="M26" s="19">
        <f>Assumptions!$F$29</f>
        <v/>
      </c>
      <c r="N26" s="19">
        <f>Assumptions!$F$29</f>
        <v/>
      </c>
      <c r="O26" s="19">
        <f>Assumptions!$F$29</f>
        <v/>
      </c>
      <c r="P26" s="19">
        <f>Assumptions!$F$29</f>
        <v/>
      </c>
      <c r="Q26" s="19">
        <f>Assumptions!$F$29</f>
        <v/>
      </c>
      <c r="R26" s="19">
        <f>Assumptions!$F$29</f>
        <v/>
      </c>
      <c r="S26" s="19">
        <f>Assumptions!$F$29</f>
        <v/>
      </c>
      <c r="T26" s="19">
        <f>Assumptions!$F$29</f>
        <v/>
      </c>
      <c r="U26" s="19">
        <f>Assumptions!$F$29</f>
        <v/>
      </c>
      <c r="V26" s="19">
        <f>Assumptions!$F$29</f>
        <v/>
      </c>
      <c r="W26" s="19">
        <f>Assumptions!$F$29</f>
        <v/>
      </c>
      <c r="X26" s="19">
        <f>Assumptions!$F$29</f>
        <v/>
      </c>
      <c r="Y26" s="19">
        <f>Assumptions!$F$29</f>
        <v/>
      </c>
      <c r="Z26" s="19">
        <f>Assumptions!$F$29</f>
        <v/>
      </c>
      <c r="AA26" s="19">
        <f>Assumptions!$F$29</f>
        <v/>
      </c>
      <c r="AB26" s="19">
        <f>Assumptions!$F$29</f>
        <v/>
      </c>
      <c r="AC26" s="19">
        <f>Assumptions!$F$29</f>
        <v/>
      </c>
      <c r="AD26" s="19">
        <f>Assumptions!$F$29</f>
        <v/>
      </c>
      <c r="AE26" s="19">
        <f>Assumptions!$F$29</f>
        <v/>
      </c>
      <c r="AF26" s="19">
        <f>Assumptions!$F$29</f>
        <v/>
      </c>
      <c r="AG26" s="19">
        <f>Assumptions!$F$29</f>
        <v/>
      </c>
      <c r="AH26" s="19">
        <f>Assumptions!$F$29</f>
        <v/>
      </c>
      <c r="AI26" s="19">
        <f>Assumptions!$F$29</f>
        <v/>
      </c>
      <c r="AJ26" s="19">
        <f>Assumptions!$F$29</f>
        <v/>
      </c>
      <c r="AK26" s="19">
        <f>Assumptions!$F$29</f>
        <v/>
      </c>
      <c r="AL26" s="19">
        <f>Assumptions!$F$29</f>
        <v/>
      </c>
      <c r="AN26" s="19">
        <f>AVERAGEIF($C$5:$AL$5,AN$5,C26:AL26)</f>
        <v/>
      </c>
      <c r="AO26" s="19">
        <f>AVERAGEIF($C$5:$AL$5,AO$5,C26:AL26)</f>
        <v/>
      </c>
      <c r="AP26" s="19">
        <f>AVERAGEIF($C$5:$AL$5,AP$5,C26:AL26)</f>
        <v/>
      </c>
      <c r="AQ26" s="19">
        <f>AVERAGE(C26:AL26)</f>
        <v/>
      </c>
    </row>
    <row r="27">
      <c r="A27" s="7" t="inlineStr">
        <is>
          <t>CONSULTING REVENUE (projects × value)</t>
        </is>
      </c>
      <c r="B27" s="4" t="inlineStr"/>
      <c r="C27" s="26">
        <f>'Revenue build'!C14*'Revenue build'!C26</f>
        <v/>
      </c>
      <c r="D27" s="26">
        <f>'Revenue build'!D14*'Revenue build'!D26</f>
        <v/>
      </c>
      <c r="E27" s="26">
        <f>'Revenue build'!E14*'Revenue build'!E26</f>
        <v/>
      </c>
      <c r="F27" s="26">
        <f>'Revenue build'!F14*'Revenue build'!F26</f>
        <v/>
      </c>
      <c r="G27" s="26">
        <f>'Revenue build'!G14*'Revenue build'!G26</f>
        <v/>
      </c>
      <c r="H27" s="26">
        <f>'Revenue build'!H14*'Revenue build'!H26</f>
        <v/>
      </c>
      <c r="I27" s="26">
        <f>'Revenue build'!I14*'Revenue build'!I26</f>
        <v/>
      </c>
      <c r="J27" s="26">
        <f>'Revenue build'!J14*'Revenue build'!J26</f>
        <v/>
      </c>
      <c r="K27" s="26">
        <f>'Revenue build'!K14*'Revenue build'!K26</f>
        <v/>
      </c>
      <c r="L27" s="26">
        <f>'Revenue build'!L14*'Revenue build'!L26</f>
        <v/>
      </c>
      <c r="M27" s="26">
        <f>'Revenue build'!M14*'Revenue build'!M26</f>
        <v/>
      </c>
      <c r="N27" s="26">
        <f>'Revenue build'!N14*'Revenue build'!N26</f>
        <v/>
      </c>
      <c r="O27" s="26">
        <f>'Revenue build'!O14*'Revenue build'!O26</f>
        <v/>
      </c>
      <c r="P27" s="26">
        <f>'Revenue build'!P14*'Revenue build'!P26</f>
        <v/>
      </c>
      <c r="Q27" s="26">
        <f>'Revenue build'!Q14*'Revenue build'!Q26</f>
        <v/>
      </c>
      <c r="R27" s="26">
        <f>'Revenue build'!R14*'Revenue build'!R26</f>
        <v/>
      </c>
      <c r="S27" s="26">
        <f>'Revenue build'!S14*'Revenue build'!S26</f>
        <v/>
      </c>
      <c r="T27" s="26">
        <f>'Revenue build'!T14*'Revenue build'!T26</f>
        <v/>
      </c>
      <c r="U27" s="26">
        <f>'Revenue build'!U14*'Revenue build'!U26</f>
        <v/>
      </c>
      <c r="V27" s="26">
        <f>'Revenue build'!V14*'Revenue build'!V26</f>
        <v/>
      </c>
      <c r="W27" s="26">
        <f>'Revenue build'!W14*'Revenue build'!W26</f>
        <v/>
      </c>
      <c r="X27" s="26">
        <f>'Revenue build'!X14*'Revenue build'!X26</f>
        <v/>
      </c>
      <c r="Y27" s="26">
        <f>'Revenue build'!Y14*'Revenue build'!Y26</f>
        <v/>
      </c>
      <c r="Z27" s="26">
        <f>'Revenue build'!Z14*'Revenue build'!Z26</f>
        <v/>
      </c>
      <c r="AA27" s="26">
        <f>'Revenue build'!AA14*'Revenue build'!AA26</f>
        <v/>
      </c>
      <c r="AB27" s="26">
        <f>'Revenue build'!AB14*'Revenue build'!AB26</f>
        <v/>
      </c>
      <c r="AC27" s="26">
        <f>'Revenue build'!AC14*'Revenue build'!AC26</f>
        <v/>
      </c>
      <c r="AD27" s="26">
        <f>'Revenue build'!AD14*'Revenue build'!AD26</f>
        <v/>
      </c>
      <c r="AE27" s="26">
        <f>'Revenue build'!AE14*'Revenue build'!AE26</f>
        <v/>
      </c>
      <c r="AF27" s="26">
        <f>'Revenue build'!AF14*'Revenue build'!AF26</f>
        <v/>
      </c>
      <c r="AG27" s="26">
        <f>'Revenue build'!AG14*'Revenue build'!AG26</f>
        <v/>
      </c>
      <c r="AH27" s="26">
        <f>'Revenue build'!AH14*'Revenue build'!AH26</f>
        <v/>
      </c>
      <c r="AI27" s="26">
        <f>'Revenue build'!AI14*'Revenue build'!AI26</f>
        <v/>
      </c>
      <c r="AJ27" s="26">
        <f>'Revenue build'!AJ14*'Revenue build'!AJ26</f>
        <v/>
      </c>
      <c r="AK27" s="26">
        <f>'Revenue build'!AK14*'Revenue build'!AK26</f>
        <v/>
      </c>
      <c r="AL27" s="26">
        <f>'Revenue build'!AL14*'Revenue build'!AL26</f>
        <v/>
      </c>
      <c r="AN27" s="26">
        <f>SUMIF($C$5:$AL$5,AN$5,C27:AL27)</f>
        <v/>
      </c>
      <c r="AO27" s="26">
        <f>SUMIF($C$5:$AL$5,AO$5,C27:AL27)</f>
        <v/>
      </c>
      <c r="AP27" s="26">
        <f>SUMIF($C$5:$AL$5,AP$5,C27:AL27)</f>
        <v/>
      </c>
      <c r="AQ27" s="26">
        <f>SUM(C27:AL27)</f>
        <v/>
      </c>
    </row>
    <row r="29">
      <c r="A29" s="9" t="inlineStr">
        <is>
          <t>E-LEARNING</t>
        </is>
      </c>
      <c r="B29" s="10" t="n"/>
      <c r="C29" s="10" t="n"/>
      <c r="D29" s="10" t="n"/>
      <c r="E29" s="10" t="n"/>
      <c r="F29" s="10" t="n"/>
      <c r="G29" s="10" t="n"/>
      <c r="H29" s="10" t="n"/>
      <c r="I29" s="10" t="n"/>
      <c r="J29" s="10" t="n"/>
      <c r="K29" s="10" t="n"/>
      <c r="L29" s="10" t="n"/>
      <c r="M29" s="10" t="n"/>
      <c r="N29" s="10" t="n"/>
      <c r="O29" s="10" t="n"/>
      <c r="P29" s="10" t="n"/>
      <c r="Q29" s="10" t="n"/>
      <c r="R29" s="10" t="n"/>
      <c r="S29" s="10" t="n"/>
      <c r="T29" s="10" t="n"/>
      <c r="U29" s="10" t="n"/>
      <c r="V29" s="10" t="n"/>
      <c r="W29" s="10" t="n"/>
      <c r="X29" s="10" t="n"/>
      <c r="Y29" s="10" t="n"/>
      <c r="Z29" s="10" t="n"/>
      <c r="AA29" s="10" t="n"/>
      <c r="AB29" s="10" t="n"/>
      <c r="AC29" s="10" t="n"/>
      <c r="AD29" s="10" t="n"/>
      <c r="AE29" s="10" t="n"/>
      <c r="AF29" s="10" t="n"/>
      <c r="AG29" s="10" t="n"/>
      <c r="AH29" s="10" t="n"/>
      <c r="AI29" s="10" t="n"/>
      <c r="AJ29" s="10" t="n"/>
      <c r="AK29" s="10" t="n"/>
      <c r="AL29" s="10" t="n"/>
      <c r="AM29" s="10" t="n"/>
      <c r="AN29" s="10" t="n"/>
      <c r="AO29" s="10" t="n"/>
      <c r="AP29" s="10" t="n"/>
      <c r="AQ29" s="10" t="n"/>
    </row>
    <row r="30">
      <c r="A30" s="22" t="inlineStr">
        <is>
          <t>Launched (1/0)</t>
        </is>
      </c>
      <c r="B30" s="4" t="inlineStr"/>
      <c r="C30" s="27">
        <f>IF(C3&gt;=Assumptions!$F$33,1,0)</f>
        <v/>
      </c>
      <c r="D30" s="27">
        <f>IF(D3&gt;=Assumptions!$F$33,1,0)</f>
        <v/>
      </c>
      <c r="E30" s="27">
        <f>IF(E3&gt;=Assumptions!$F$33,1,0)</f>
        <v/>
      </c>
      <c r="F30" s="27">
        <f>IF(F3&gt;=Assumptions!$F$33,1,0)</f>
        <v/>
      </c>
      <c r="G30" s="27">
        <f>IF(G3&gt;=Assumptions!$F$33,1,0)</f>
        <v/>
      </c>
      <c r="H30" s="27">
        <f>IF(H3&gt;=Assumptions!$F$33,1,0)</f>
        <v/>
      </c>
      <c r="I30" s="27">
        <f>IF(I3&gt;=Assumptions!$F$33,1,0)</f>
        <v/>
      </c>
      <c r="J30" s="27">
        <f>IF(J3&gt;=Assumptions!$F$33,1,0)</f>
        <v/>
      </c>
      <c r="K30" s="27">
        <f>IF(K3&gt;=Assumptions!$F$33,1,0)</f>
        <v/>
      </c>
      <c r="L30" s="27">
        <f>IF(L3&gt;=Assumptions!$F$33,1,0)</f>
        <v/>
      </c>
      <c r="M30" s="27">
        <f>IF(M3&gt;=Assumptions!$F$33,1,0)</f>
        <v/>
      </c>
      <c r="N30" s="27">
        <f>IF(N3&gt;=Assumptions!$F$33,1,0)</f>
        <v/>
      </c>
      <c r="O30" s="27">
        <f>IF(O3&gt;=Assumptions!$F$33,1,0)</f>
        <v/>
      </c>
      <c r="P30" s="27">
        <f>IF(P3&gt;=Assumptions!$F$33,1,0)</f>
        <v/>
      </c>
      <c r="Q30" s="27">
        <f>IF(Q3&gt;=Assumptions!$F$33,1,0)</f>
        <v/>
      </c>
      <c r="R30" s="27">
        <f>IF(R3&gt;=Assumptions!$F$33,1,0)</f>
        <v/>
      </c>
      <c r="S30" s="27">
        <f>IF(S3&gt;=Assumptions!$F$33,1,0)</f>
        <v/>
      </c>
      <c r="T30" s="27">
        <f>IF(T3&gt;=Assumptions!$F$33,1,0)</f>
        <v/>
      </c>
      <c r="U30" s="27">
        <f>IF(U3&gt;=Assumptions!$F$33,1,0)</f>
        <v/>
      </c>
      <c r="V30" s="27">
        <f>IF(V3&gt;=Assumptions!$F$33,1,0)</f>
        <v/>
      </c>
      <c r="W30" s="27">
        <f>IF(W3&gt;=Assumptions!$F$33,1,0)</f>
        <v/>
      </c>
      <c r="X30" s="27">
        <f>IF(X3&gt;=Assumptions!$F$33,1,0)</f>
        <v/>
      </c>
      <c r="Y30" s="27">
        <f>IF(Y3&gt;=Assumptions!$F$33,1,0)</f>
        <v/>
      </c>
      <c r="Z30" s="27">
        <f>IF(Z3&gt;=Assumptions!$F$33,1,0)</f>
        <v/>
      </c>
      <c r="AA30" s="27">
        <f>IF(AA3&gt;=Assumptions!$F$33,1,0)</f>
        <v/>
      </c>
      <c r="AB30" s="27">
        <f>IF(AB3&gt;=Assumptions!$F$33,1,0)</f>
        <v/>
      </c>
      <c r="AC30" s="27">
        <f>IF(AC3&gt;=Assumptions!$F$33,1,0)</f>
        <v/>
      </c>
      <c r="AD30" s="27">
        <f>IF(AD3&gt;=Assumptions!$F$33,1,0)</f>
        <v/>
      </c>
      <c r="AE30" s="27">
        <f>IF(AE3&gt;=Assumptions!$F$33,1,0)</f>
        <v/>
      </c>
      <c r="AF30" s="27">
        <f>IF(AF3&gt;=Assumptions!$F$33,1,0)</f>
        <v/>
      </c>
      <c r="AG30" s="27">
        <f>IF(AG3&gt;=Assumptions!$F$33,1,0)</f>
        <v/>
      </c>
      <c r="AH30" s="27">
        <f>IF(AH3&gt;=Assumptions!$F$33,1,0)</f>
        <v/>
      </c>
      <c r="AI30" s="27">
        <f>IF(AI3&gt;=Assumptions!$F$33,1,0)</f>
        <v/>
      </c>
      <c r="AJ30" s="27">
        <f>IF(AJ3&gt;=Assumptions!$F$33,1,0)</f>
        <v/>
      </c>
      <c r="AK30" s="27">
        <f>IF(AK3&gt;=Assumptions!$F$33,1,0)</f>
        <v/>
      </c>
      <c r="AL30" s="27">
        <f>IF(AL3&gt;=Assumptions!$F$33,1,0)</f>
        <v/>
      </c>
      <c r="AN30" s="27">
        <f>INDEX(C30:AL30,1,12)</f>
        <v/>
      </c>
      <c r="AO30" s="27">
        <f>INDEX(C30:AL30,1,24)</f>
        <v/>
      </c>
      <c r="AP30" s="27">
        <f>INDEX(C30:AL30,1,36)</f>
        <v/>
      </c>
      <c r="AQ30" s="27">
        <f>INDEX(C30:AL30,1,36)</f>
        <v/>
      </c>
    </row>
    <row r="31">
      <c r="A31" s="22" t="inlineStr">
        <is>
          <t>New learners per month</t>
        </is>
      </c>
      <c r="B31" s="4" t="inlineStr">
        <is>
          <t>learners</t>
        </is>
      </c>
      <c r="C31" s="39">
        <f>IF('Revenue build'!C30=1,Assumptions!$F$34*(1+Assumptions!$F$35)^(C3-Assumptions!$F$33),0)</f>
        <v/>
      </c>
      <c r="D31" s="39">
        <f>IF('Revenue build'!D30=1,Assumptions!$F$34*(1+Assumptions!$F$35)^(D3-Assumptions!$F$33),0)</f>
        <v/>
      </c>
      <c r="E31" s="39">
        <f>IF('Revenue build'!E30=1,Assumptions!$F$34*(1+Assumptions!$F$35)^(E3-Assumptions!$F$33),0)</f>
        <v/>
      </c>
      <c r="F31" s="39">
        <f>IF('Revenue build'!F30=1,Assumptions!$F$34*(1+Assumptions!$F$35)^(F3-Assumptions!$F$33),0)</f>
        <v/>
      </c>
      <c r="G31" s="39">
        <f>IF('Revenue build'!G30=1,Assumptions!$F$34*(1+Assumptions!$F$35)^(G3-Assumptions!$F$33),0)</f>
        <v/>
      </c>
      <c r="H31" s="39">
        <f>IF('Revenue build'!H30=1,Assumptions!$F$34*(1+Assumptions!$F$35)^(H3-Assumptions!$F$33),0)</f>
        <v/>
      </c>
      <c r="I31" s="39">
        <f>IF('Revenue build'!I30=1,Assumptions!$F$34*(1+Assumptions!$F$35)^(I3-Assumptions!$F$33),0)</f>
        <v/>
      </c>
      <c r="J31" s="39">
        <f>IF('Revenue build'!J30=1,Assumptions!$F$34*(1+Assumptions!$F$35)^(J3-Assumptions!$F$33),0)</f>
        <v/>
      </c>
      <c r="K31" s="39">
        <f>IF('Revenue build'!K30=1,Assumptions!$F$34*(1+Assumptions!$F$35)^(K3-Assumptions!$F$33),0)</f>
        <v/>
      </c>
      <c r="L31" s="39">
        <f>IF('Revenue build'!L30=1,Assumptions!$F$34*(1+Assumptions!$F$35)^(L3-Assumptions!$F$33),0)</f>
        <v/>
      </c>
      <c r="M31" s="39">
        <f>IF('Revenue build'!M30=1,Assumptions!$F$34*(1+Assumptions!$F$35)^(M3-Assumptions!$F$33),0)</f>
        <v/>
      </c>
      <c r="N31" s="39">
        <f>IF('Revenue build'!N30=1,Assumptions!$F$34*(1+Assumptions!$F$35)^(N3-Assumptions!$F$33),0)</f>
        <v/>
      </c>
      <c r="O31" s="39">
        <f>IF('Revenue build'!O30=1,Assumptions!$F$34*(1+Assumptions!$F$35)^(O3-Assumptions!$F$33),0)</f>
        <v/>
      </c>
      <c r="P31" s="39">
        <f>IF('Revenue build'!P30=1,Assumptions!$F$34*(1+Assumptions!$F$35)^(P3-Assumptions!$F$33),0)</f>
        <v/>
      </c>
      <c r="Q31" s="39">
        <f>IF('Revenue build'!Q30=1,Assumptions!$F$34*(1+Assumptions!$F$35)^(Q3-Assumptions!$F$33),0)</f>
        <v/>
      </c>
      <c r="R31" s="39">
        <f>IF('Revenue build'!R30=1,Assumptions!$F$34*(1+Assumptions!$F$35)^(R3-Assumptions!$F$33),0)</f>
        <v/>
      </c>
      <c r="S31" s="39">
        <f>IF('Revenue build'!S30=1,Assumptions!$F$34*(1+Assumptions!$F$35)^(S3-Assumptions!$F$33),0)</f>
        <v/>
      </c>
      <c r="T31" s="39">
        <f>IF('Revenue build'!T30=1,Assumptions!$F$34*(1+Assumptions!$F$35)^(T3-Assumptions!$F$33),0)</f>
        <v/>
      </c>
      <c r="U31" s="39">
        <f>IF('Revenue build'!U30=1,Assumptions!$F$34*(1+Assumptions!$F$35)^(U3-Assumptions!$F$33),0)</f>
        <v/>
      </c>
      <c r="V31" s="39">
        <f>IF('Revenue build'!V30=1,Assumptions!$F$34*(1+Assumptions!$F$35)^(V3-Assumptions!$F$33),0)</f>
        <v/>
      </c>
      <c r="W31" s="39">
        <f>IF('Revenue build'!W30=1,Assumptions!$F$34*(1+Assumptions!$F$35)^(W3-Assumptions!$F$33),0)</f>
        <v/>
      </c>
      <c r="X31" s="39">
        <f>IF('Revenue build'!X30=1,Assumptions!$F$34*(1+Assumptions!$F$35)^(X3-Assumptions!$F$33),0)</f>
        <v/>
      </c>
      <c r="Y31" s="39">
        <f>IF('Revenue build'!Y30=1,Assumptions!$F$34*(1+Assumptions!$F$35)^(Y3-Assumptions!$F$33),0)</f>
        <v/>
      </c>
      <c r="Z31" s="39">
        <f>IF('Revenue build'!Z30=1,Assumptions!$F$34*(1+Assumptions!$F$35)^(Z3-Assumptions!$F$33),0)</f>
        <v/>
      </c>
      <c r="AA31" s="39">
        <f>IF('Revenue build'!AA30=1,Assumptions!$F$34*(1+Assumptions!$F$35)^(AA3-Assumptions!$F$33),0)</f>
        <v/>
      </c>
      <c r="AB31" s="39">
        <f>IF('Revenue build'!AB30=1,Assumptions!$F$34*(1+Assumptions!$F$35)^(AB3-Assumptions!$F$33),0)</f>
        <v/>
      </c>
      <c r="AC31" s="39">
        <f>IF('Revenue build'!AC30=1,Assumptions!$F$34*(1+Assumptions!$F$35)^(AC3-Assumptions!$F$33),0)</f>
        <v/>
      </c>
      <c r="AD31" s="39">
        <f>IF('Revenue build'!AD30=1,Assumptions!$F$34*(1+Assumptions!$F$35)^(AD3-Assumptions!$F$33),0)</f>
        <v/>
      </c>
      <c r="AE31" s="39">
        <f>IF('Revenue build'!AE30=1,Assumptions!$F$34*(1+Assumptions!$F$35)^(AE3-Assumptions!$F$33),0)</f>
        <v/>
      </c>
      <c r="AF31" s="39">
        <f>IF('Revenue build'!AF30=1,Assumptions!$F$34*(1+Assumptions!$F$35)^(AF3-Assumptions!$F$33),0)</f>
        <v/>
      </c>
      <c r="AG31" s="39">
        <f>IF('Revenue build'!AG30=1,Assumptions!$F$34*(1+Assumptions!$F$35)^(AG3-Assumptions!$F$33),0)</f>
        <v/>
      </c>
      <c r="AH31" s="39">
        <f>IF('Revenue build'!AH30=1,Assumptions!$F$34*(1+Assumptions!$F$35)^(AH3-Assumptions!$F$33),0)</f>
        <v/>
      </c>
      <c r="AI31" s="39">
        <f>IF('Revenue build'!AI30=1,Assumptions!$F$34*(1+Assumptions!$F$35)^(AI3-Assumptions!$F$33),0)</f>
        <v/>
      </c>
      <c r="AJ31" s="39">
        <f>IF('Revenue build'!AJ30=1,Assumptions!$F$34*(1+Assumptions!$F$35)^(AJ3-Assumptions!$F$33),0)</f>
        <v/>
      </c>
      <c r="AK31" s="39">
        <f>IF('Revenue build'!AK30=1,Assumptions!$F$34*(1+Assumptions!$F$35)^(AK3-Assumptions!$F$33),0)</f>
        <v/>
      </c>
      <c r="AL31" s="39">
        <f>IF('Revenue build'!AL30=1,Assumptions!$F$34*(1+Assumptions!$F$35)^(AL3-Assumptions!$F$33),0)</f>
        <v/>
      </c>
      <c r="AN31" s="39">
        <f>SUMIF($C$5:$AL$5,AN$5,C31:AL31)</f>
        <v/>
      </c>
      <c r="AO31" s="39">
        <f>SUMIF($C$5:$AL$5,AO$5,C31:AL31)</f>
        <v/>
      </c>
      <c r="AP31" s="39">
        <f>SUMIF($C$5:$AL$5,AP$5,C31:AL31)</f>
        <v/>
      </c>
      <c r="AQ31" s="39">
        <f>SUM(C31:AL31)</f>
        <v/>
      </c>
    </row>
    <row r="32">
      <c r="A32" s="22" t="inlineStr">
        <is>
          <t>ARPU</t>
        </is>
      </c>
      <c r="B32" s="4" t="inlineStr">
        <is>
          <t>GBP</t>
        </is>
      </c>
      <c r="C32" s="19">
        <f>Assumptions!$F$36</f>
        <v/>
      </c>
      <c r="D32" s="19">
        <f>Assumptions!$F$36</f>
        <v/>
      </c>
      <c r="E32" s="19">
        <f>Assumptions!$F$36</f>
        <v/>
      </c>
      <c r="F32" s="19">
        <f>Assumptions!$F$36</f>
        <v/>
      </c>
      <c r="G32" s="19">
        <f>Assumptions!$F$36</f>
        <v/>
      </c>
      <c r="H32" s="19">
        <f>Assumptions!$F$36</f>
        <v/>
      </c>
      <c r="I32" s="19">
        <f>Assumptions!$F$36</f>
        <v/>
      </c>
      <c r="J32" s="19">
        <f>Assumptions!$F$36</f>
        <v/>
      </c>
      <c r="K32" s="19">
        <f>Assumptions!$F$36</f>
        <v/>
      </c>
      <c r="L32" s="19">
        <f>Assumptions!$F$36</f>
        <v/>
      </c>
      <c r="M32" s="19">
        <f>Assumptions!$F$36</f>
        <v/>
      </c>
      <c r="N32" s="19">
        <f>Assumptions!$F$36</f>
        <v/>
      </c>
      <c r="O32" s="19">
        <f>Assumptions!$F$36</f>
        <v/>
      </c>
      <c r="P32" s="19">
        <f>Assumptions!$F$36</f>
        <v/>
      </c>
      <c r="Q32" s="19">
        <f>Assumptions!$F$36</f>
        <v/>
      </c>
      <c r="R32" s="19">
        <f>Assumptions!$F$36</f>
        <v/>
      </c>
      <c r="S32" s="19">
        <f>Assumptions!$F$36</f>
        <v/>
      </c>
      <c r="T32" s="19">
        <f>Assumptions!$F$36</f>
        <v/>
      </c>
      <c r="U32" s="19">
        <f>Assumptions!$F$36</f>
        <v/>
      </c>
      <c r="V32" s="19">
        <f>Assumptions!$F$36</f>
        <v/>
      </c>
      <c r="W32" s="19">
        <f>Assumptions!$F$36</f>
        <v/>
      </c>
      <c r="X32" s="19">
        <f>Assumptions!$F$36</f>
        <v/>
      </c>
      <c r="Y32" s="19">
        <f>Assumptions!$F$36</f>
        <v/>
      </c>
      <c r="Z32" s="19">
        <f>Assumptions!$F$36</f>
        <v/>
      </c>
      <c r="AA32" s="19">
        <f>Assumptions!$F$36</f>
        <v/>
      </c>
      <c r="AB32" s="19">
        <f>Assumptions!$F$36</f>
        <v/>
      </c>
      <c r="AC32" s="19">
        <f>Assumptions!$F$36</f>
        <v/>
      </c>
      <c r="AD32" s="19">
        <f>Assumptions!$F$36</f>
        <v/>
      </c>
      <c r="AE32" s="19">
        <f>Assumptions!$F$36</f>
        <v/>
      </c>
      <c r="AF32" s="19">
        <f>Assumptions!$F$36</f>
        <v/>
      </c>
      <c r="AG32" s="19">
        <f>Assumptions!$F$36</f>
        <v/>
      </c>
      <c r="AH32" s="19">
        <f>Assumptions!$F$36</f>
        <v/>
      </c>
      <c r="AI32" s="19">
        <f>Assumptions!$F$36</f>
        <v/>
      </c>
      <c r="AJ32" s="19">
        <f>Assumptions!$F$36</f>
        <v/>
      </c>
      <c r="AK32" s="19">
        <f>Assumptions!$F$36</f>
        <v/>
      </c>
      <c r="AL32" s="19">
        <f>Assumptions!$F$36</f>
        <v/>
      </c>
      <c r="AN32" s="19">
        <f>AVERAGEIF($C$5:$AL$5,AN$5,C32:AL32)</f>
        <v/>
      </c>
      <c r="AO32" s="19">
        <f>AVERAGEIF($C$5:$AL$5,AO$5,C32:AL32)</f>
        <v/>
      </c>
      <c r="AP32" s="19">
        <f>AVERAGEIF($C$5:$AL$5,AP$5,C32:AL32)</f>
        <v/>
      </c>
      <c r="AQ32" s="19">
        <f>AVERAGE(C32:AL32)</f>
        <v/>
      </c>
    </row>
    <row r="33">
      <c r="A33" s="22" t="inlineStr">
        <is>
          <t>Course revenue (learners × ARPU)</t>
        </is>
      </c>
      <c r="B33" s="4" t="inlineStr"/>
      <c r="C33" s="19">
        <f>'Revenue build'!C31*'Revenue build'!C32</f>
        <v/>
      </c>
      <c r="D33" s="19">
        <f>'Revenue build'!D31*'Revenue build'!D32</f>
        <v/>
      </c>
      <c r="E33" s="19">
        <f>'Revenue build'!E31*'Revenue build'!E32</f>
        <v/>
      </c>
      <c r="F33" s="19">
        <f>'Revenue build'!F31*'Revenue build'!F32</f>
        <v/>
      </c>
      <c r="G33" s="19">
        <f>'Revenue build'!G31*'Revenue build'!G32</f>
        <v/>
      </c>
      <c r="H33" s="19">
        <f>'Revenue build'!H31*'Revenue build'!H32</f>
        <v/>
      </c>
      <c r="I33" s="19">
        <f>'Revenue build'!I31*'Revenue build'!I32</f>
        <v/>
      </c>
      <c r="J33" s="19">
        <f>'Revenue build'!J31*'Revenue build'!J32</f>
        <v/>
      </c>
      <c r="K33" s="19">
        <f>'Revenue build'!K31*'Revenue build'!K32</f>
        <v/>
      </c>
      <c r="L33" s="19">
        <f>'Revenue build'!L31*'Revenue build'!L32</f>
        <v/>
      </c>
      <c r="M33" s="19">
        <f>'Revenue build'!M31*'Revenue build'!M32</f>
        <v/>
      </c>
      <c r="N33" s="19">
        <f>'Revenue build'!N31*'Revenue build'!N32</f>
        <v/>
      </c>
      <c r="O33" s="19">
        <f>'Revenue build'!O31*'Revenue build'!O32</f>
        <v/>
      </c>
      <c r="P33" s="19">
        <f>'Revenue build'!P31*'Revenue build'!P32</f>
        <v/>
      </c>
      <c r="Q33" s="19">
        <f>'Revenue build'!Q31*'Revenue build'!Q32</f>
        <v/>
      </c>
      <c r="R33" s="19">
        <f>'Revenue build'!R31*'Revenue build'!R32</f>
        <v/>
      </c>
      <c r="S33" s="19">
        <f>'Revenue build'!S31*'Revenue build'!S32</f>
        <v/>
      </c>
      <c r="T33" s="19">
        <f>'Revenue build'!T31*'Revenue build'!T32</f>
        <v/>
      </c>
      <c r="U33" s="19">
        <f>'Revenue build'!U31*'Revenue build'!U32</f>
        <v/>
      </c>
      <c r="V33" s="19">
        <f>'Revenue build'!V31*'Revenue build'!V32</f>
        <v/>
      </c>
      <c r="W33" s="19">
        <f>'Revenue build'!W31*'Revenue build'!W32</f>
        <v/>
      </c>
      <c r="X33" s="19">
        <f>'Revenue build'!X31*'Revenue build'!X32</f>
        <v/>
      </c>
      <c r="Y33" s="19">
        <f>'Revenue build'!Y31*'Revenue build'!Y32</f>
        <v/>
      </c>
      <c r="Z33" s="19">
        <f>'Revenue build'!Z31*'Revenue build'!Z32</f>
        <v/>
      </c>
      <c r="AA33" s="19">
        <f>'Revenue build'!AA31*'Revenue build'!AA32</f>
        <v/>
      </c>
      <c r="AB33" s="19">
        <f>'Revenue build'!AB31*'Revenue build'!AB32</f>
        <v/>
      </c>
      <c r="AC33" s="19">
        <f>'Revenue build'!AC31*'Revenue build'!AC32</f>
        <v/>
      </c>
      <c r="AD33" s="19">
        <f>'Revenue build'!AD31*'Revenue build'!AD32</f>
        <v/>
      </c>
      <c r="AE33" s="19">
        <f>'Revenue build'!AE31*'Revenue build'!AE32</f>
        <v/>
      </c>
      <c r="AF33" s="19">
        <f>'Revenue build'!AF31*'Revenue build'!AF32</f>
        <v/>
      </c>
      <c r="AG33" s="19">
        <f>'Revenue build'!AG31*'Revenue build'!AG32</f>
        <v/>
      </c>
      <c r="AH33" s="19">
        <f>'Revenue build'!AH31*'Revenue build'!AH32</f>
        <v/>
      </c>
      <c r="AI33" s="19">
        <f>'Revenue build'!AI31*'Revenue build'!AI32</f>
        <v/>
      </c>
      <c r="AJ33" s="19">
        <f>'Revenue build'!AJ31*'Revenue build'!AJ32</f>
        <v/>
      </c>
      <c r="AK33" s="19">
        <f>'Revenue build'!AK31*'Revenue build'!AK32</f>
        <v/>
      </c>
      <c r="AL33" s="19">
        <f>'Revenue build'!AL31*'Revenue build'!AL32</f>
        <v/>
      </c>
      <c r="AN33" s="19">
        <f>SUMIF($C$5:$AL$5,AN$5,C33:AL33)</f>
        <v/>
      </c>
      <c r="AO33" s="19">
        <f>SUMIF($C$5:$AL$5,AO$5,C33:AL33)</f>
        <v/>
      </c>
      <c r="AP33" s="19">
        <f>SUMIF($C$5:$AL$5,AP$5,C33:AL33)</f>
        <v/>
      </c>
      <c r="AQ33" s="19">
        <f>SUM(C33:AL33)</f>
        <v/>
      </c>
    </row>
    <row r="34">
      <c r="A34" s="22" t="inlineStr">
        <is>
          <t>Corporate licences active</t>
        </is>
      </c>
      <c r="B34" s="4" t="inlineStr">
        <is>
          <t>count</t>
        </is>
      </c>
      <c r="C34" s="27">
        <f>'Revenue build'!C30*CHOOSE(C6,Assumptions!$F$37,Assumptions!$F$38,Assumptions!$F$39)</f>
        <v/>
      </c>
      <c r="D34" s="27">
        <f>'Revenue build'!D30*CHOOSE(D6,Assumptions!$F$37,Assumptions!$F$38,Assumptions!$F$39)</f>
        <v/>
      </c>
      <c r="E34" s="27">
        <f>'Revenue build'!E30*CHOOSE(E6,Assumptions!$F$37,Assumptions!$F$38,Assumptions!$F$39)</f>
        <v/>
      </c>
      <c r="F34" s="27">
        <f>'Revenue build'!F30*CHOOSE(F6,Assumptions!$F$37,Assumptions!$F$38,Assumptions!$F$39)</f>
        <v/>
      </c>
      <c r="G34" s="27">
        <f>'Revenue build'!G30*CHOOSE(G6,Assumptions!$F$37,Assumptions!$F$38,Assumptions!$F$39)</f>
        <v/>
      </c>
      <c r="H34" s="27">
        <f>'Revenue build'!H30*CHOOSE(H6,Assumptions!$F$37,Assumptions!$F$38,Assumptions!$F$39)</f>
        <v/>
      </c>
      <c r="I34" s="27">
        <f>'Revenue build'!I30*CHOOSE(I6,Assumptions!$F$37,Assumptions!$F$38,Assumptions!$F$39)</f>
        <v/>
      </c>
      <c r="J34" s="27">
        <f>'Revenue build'!J30*CHOOSE(J6,Assumptions!$F$37,Assumptions!$F$38,Assumptions!$F$39)</f>
        <v/>
      </c>
      <c r="K34" s="27">
        <f>'Revenue build'!K30*CHOOSE(K6,Assumptions!$F$37,Assumptions!$F$38,Assumptions!$F$39)</f>
        <v/>
      </c>
      <c r="L34" s="27">
        <f>'Revenue build'!L30*CHOOSE(L6,Assumptions!$F$37,Assumptions!$F$38,Assumptions!$F$39)</f>
        <v/>
      </c>
      <c r="M34" s="27">
        <f>'Revenue build'!M30*CHOOSE(M6,Assumptions!$F$37,Assumptions!$F$38,Assumptions!$F$39)</f>
        <v/>
      </c>
      <c r="N34" s="27">
        <f>'Revenue build'!N30*CHOOSE(N6,Assumptions!$F$37,Assumptions!$F$38,Assumptions!$F$39)</f>
        <v/>
      </c>
      <c r="O34" s="27">
        <f>'Revenue build'!O30*CHOOSE(O6,Assumptions!$F$37,Assumptions!$F$38,Assumptions!$F$39)</f>
        <v/>
      </c>
      <c r="P34" s="27">
        <f>'Revenue build'!P30*CHOOSE(P6,Assumptions!$F$37,Assumptions!$F$38,Assumptions!$F$39)</f>
        <v/>
      </c>
      <c r="Q34" s="27">
        <f>'Revenue build'!Q30*CHOOSE(Q6,Assumptions!$F$37,Assumptions!$F$38,Assumptions!$F$39)</f>
        <v/>
      </c>
      <c r="R34" s="27">
        <f>'Revenue build'!R30*CHOOSE(R6,Assumptions!$F$37,Assumptions!$F$38,Assumptions!$F$39)</f>
        <v/>
      </c>
      <c r="S34" s="27">
        <f>'Revenue build'!S30*CHOOSE(S6,Assumptions!$F$37,Assumptions!$F$38,Assumptions!$F$39)</f>
        <v/>
      </c>
      <c r="T34" s="27">
        <f>'Revenue build'!T30*CHOOSE(T6,Assumptions!$F$37,Assumptions!$F$38,Assumptions!$F$39)</f>
        <v/>
      </c>
      <c r="U34" s="27">
        <f>'Revenue build'!U30*CHOOSE(U6,Assumptions!$F$37,Assumptions!$F$38,Assumptions!$F$39)</f>
        <v/>
      </c>
      <c r="V34" s="27">
        <f>'Revenue build'!V30*CHOOSE(V6,Assumptions!$F$37,Assumptions!$F$38,Assumptions!$F$39)</f>
        <v/>
      </c>
      <c r="W34" s="27">
        <f>'Revenue build'!W30*CHOOSE(W6,Assumptions!$F$37,Assumptions!$F$38,Assumptions!$F$39)</f>
        <v/>
      </c>
      <c r="X34" s="27">
        <f>'Revenue build'!X30*CHOOSE(X6,Assumptions!$F$37,Assumptions!$F$38,Assumptions!$F$39)</f>
        <v/>
      </c>
      <c r="Y34" s="27">
        <f>'Revenue build'!Y30*CHOOSE(Y6,Assumptions!$F$37,Assumptions!$F$38,Assumptions!$F$39)</f>
        <v/>
      </c>
      <c r="Z34" s="27">
        <f>'Revenue build'!Z30*CHOOSE(Z6,Assumptions!$F$37,Assumptions!$F$38,Assumptions!$F$39)</f>
        <v/>
      </c>
      <c r="AA34" s="27">
        <f>'Revenue build'!AA30*CHOOSE(AA6,Assumptions!$F$37,Assumptions!$F$38,Assumptions!$F$39)</f>
        <v/>
      </c>
      <c r="AB34" s="27">
        <f>'Revenue build'!AB30*CHOOSE(AB6,Assumptions!$F$37,Assumptions!$F$38,Assumptions!$F$39)</f>
        <v/>
      </c>
      <c r="AC34" s="27">
        <f>'Revenue build'!AC30*CHOOSE(AC6,Assumptions!$F$37,Assumptions!$F$38,Assumptions!$F$39)</f>
        <v/>
      </c>
      <c r="AD34" s="27">
        <f>'Revenue build'!AD30*CHOOSE(AD6,Assumptions!$F$37,Assumptions!$F$38,Assumptions!$F$39)</f>
        <v/>
      </c>
      <c r="AE34" s="27">
        <f>'Revenue build'!AE30*CHOOSE(AE6,Assumptions!$F$37,Assumptions!$F$38,Assumptions!$F$39)</f>
        <v/>
      </c>
      <c r="AF34" s="27">
        <f>'Revenue build'!AF30*CHOOSE(AF6,Assumptions!$F$37,Assumptions!$F$38,Assumptions!$F$39)</f>
        <v/>
      </c>
      <c r="AG34" s="27">
        <f>'Revenue build'!AG30*CHOOSE(AG6,Assumptions!$F$37,Assumptions!$F$38,Assumptions!$F$39)</f>
        <v/>
      </c>
      <c r="AH34" s="27">
        <f>'Revenue build'!AH30*CHOOSE(AH6,Assumptions!$F$37,Assumptions!$F$38,Assumptions!$F$39)</f>
        <v/>
      </c>
      <c r="AI34" s="27">
        <f>'Revenue build'!AI30*CHOOSE(AI6,Assumptions!$F$37,Assumptions!$F$38,Assumptions!$F$39)</f>
        <v/>
      </c>
      <c r="AJ34" s="27">
        <f>'Revenue build'!AJ30*CHOOSE(AJ6,Assumptions!$F$37,Assumptions!$F$38,Assumptions!$F$39)</f>
        <v/>
      </c>
      <c r="AK34" s="27">
        <f>'Revenue build'!AK30*CHOOSE(AK6,Assumptions!$F$37,Assumptions!$F$38,Assumptions!$F$39)</f>
        <v/>
      </c>
      <c r="AL34" s="27">
        <f>'Revenue build'!AL30*CHOOSE(AL6,Assumptions!$F$37,Assumptions!$F$38,Assumptions!$F$39)</f>
        <v/>
      </c>
      <c r="AN34" s="27">
        <f>AVERAGEIF($C$5:$AL$5,AN$5,C34:AL34)</f>
        <v/>
      </c>
      <c r="AO34" s="27">
        <f>AVERAGEIF($C$5:$AL$5,AO$5,C34:AL34)</f>
        <v/>
      </c>
      <c r="AP34" s="27">
        <f>AVERAGEIF($C$5:$AL$5,AP$5,C34:AL34)</f>
        <v/>
      </c>
      <c r="AQ34" s="27">
        <f>AVERAGE(C34:AL34)</f>
        <v/>
      </c>
    </row>
    <row r="35">
      <c r="A35" s="22" t="inlineStr">
        <is>
          <t>Corporate licence revenue</t>
        </is>
      </c>
      <c r="B35" s="4" t="inlineStr"/>
      <c r="C35" s="19">
        <f>'Revenue build'!C34*Assumptions!$F$40/12</f>
        <v/>
      </c>
      <c r="D35" s="19">
        <f>'Revenue build'!D34*Assumptions!$F$40/12</f>
        <v/>
      </c>
      <c r="E35" s="19">
        <f>'Revenue build'!E34*Assumptions!$F$40/12</f>
        <v/>
      </c>
      <c r="F35" s="19">
        <f>'Revenue build'!F34*Assumptions!$F$40/12</f>
        <v/>
      </c>
      <c r="G35" s="19">
        <f>'Revenue build'!G34*Assumptions!$F$40/12</f>
        <v/>
      </c>
      <c r="H35" s="19">
        <f>'Revenue build'!H34*Assumptions!$F$40/12</f>
        <v/>
      </c>
      <c r="I35" s="19">
        <f>'Revenue build'!I34*Assumptions!$F$40/12</f>
        <v/>
      </c>
      <c r="J35" s="19">
        <f>'Revenue build'!J34*Assumptions!$F$40/12</f>
        <v/>
      </c>
      <c r="K35" s="19">
        <f>'Revenue build'!K34*Assumptions!$F$40/12</f>
        <v/>
      </c>
      <c r="L35" s="19">
        <f>'Revenue build'!L34*Assumptions!$F$40/12</f>
        <v/>
      </c>
      <c r="M35" s="19">
        <f>'Revenue build'!M34*Assumptions!$F$40/12</f>
        <v/>
      </c>
      <c r="N35" s="19">
        <f>'Revenue build'!N34*Assumptions!$F$40/12</f>
        <v/>
      </c>
      <c r="O35" s="19">
        <f>'Revenue build'!O34*Assumptions!$F$40/12</f>
        <v/>
      </c>
      <c r="P35" s="19">
        <f>'Revenue build'!P34*Assumptions!$F$40/12</f>
        <v/>
      </c>
      <c r="Q35" s="19">
        <f>'Revenue build'!Q34*Assumptions!$F$40/12</f>
        <v/>
      </c>
      <c r="R35" s="19">
        <f>'Revenue build'!R34*Assumptions!$F$40/12</f>
        <v/>
      </c>
      <c r="S35" s="19">
        <f>'Revenue build'!S34*Assumptions!$F$40/12</f>
        <v/>
      </c>
      <c r="T35" s="19">
        <f>'Revenue build'!T34*Assumptions!$F$40/12</f>
        <v/>
      </c>
      <c r="U35" s="19">
        <f>'Revenue build'!U34*Assumptions!$F$40/12</f>
        <v/>
      </c>
      <c r="V35" s="19">
        <f>'Revenue build'!V34*Assumptions!$F$40/12</f>
        <v/>
      </c>
      <c r="W35" s="19">
        <f>'Revenue build'!W34*Assumptions!$F$40/12</f>
        <v/>
      </c>
      <c r="X35" s="19">
        <f>'Revenue build'!X34*Assumptions!$F$40/12</f>
        <v/>
      </c>
      <c r="Y35" s="19">
        <f>'Revenue build'!Y34*Assumptions!$F$40/12</f>
        <v/>
      </c>
      <c r="Z35" s="19">
        <f>'Revenue build'!Z34*Assumptions!$F$40/12</f>
        <v/>
      </c>
      <c r="AA35" s="19">
        <f>'Revenue build'!AA34*Assumptions!$F$40/12</f>
        <v/>
      </c>
      <c r="AB35" s="19">
        <f>'Revenue build'!AB34*Assumptions!$F$40/12</f>
        <v/>
      </c>
      <c r="AC35" s="19">
        <f>'Revenue build'!AC34*Assumptions!$F$40/12</f>
        <v/>
      </c>
      <c r="AD35" s="19">
        <f>'Revenue build'!AD34*Assumptions!$F$40/12</f>
        <v/>
      </c>
      <c r="AE35" s="19">
        <f>'Revenue build'!AE34*Assumptions!$F$40/12</f>
        <v/>
      </c>
      <c r="AF35" s="19">
        <f>'Revenue build'!AF34*Assumptions!$F$40/12</f>
        <v/>
      </c>
      <c r="AG35" s="19">
        <f>'Revenue build'!AG34*Assumptions!$F$40/12</f>
        <v/>
      </c>
      <c r="AH35" s="19">
        <f>'Revenue build'!AH34*Assumptions!$F$40/12</f>
        <v/>
      </c>
      <c r="AI35" s="19">
        <f>'Revenue build'!AI34*Assumptions!$F$40/12</f>
        <v/>
      </c>
      <c r="AJ35" s="19">
        <f>'Revenue build'!AJ34*Assumptions!$F$40/12</f>
        <v/>
      </c>
      <c r="AK35" s="19">
        <f>'Revenue build'!AK34*Assumptions!$F$40/12</f>
        <v/>
      </c>
      <c r="AL35" s="19">
        <f>'Revenue build'!AL34*Assumptions!$F$40/12</f>
        <v/>
      </c>
      <c r="AN35" s="19">
        <f>SUMIF($C$5:$AL$5,AN$5,C35:AL35)</f>
        <v/>
      </c>
      <c r="AO35" s="19">
        <f>SUMIF($C$5:$AL$5,AO$5,C35:AL35)</f>
        <v/>
      </c>
      <c r="AP35" s="19">
        <f>SUMIF($C$5:$AL$5,AP$5,C35:AL35)</f>
        <v/>
      </c>
      <c r="AQ35" s="19">
        <f>SUM(C35:AL35)</f>
        <v/>
      </c>
    </row>
    <row r="36">
      <c r="A36" s="7" t="inlineStr">
        <is>
          <t>E-LEARNING REVENUE</t>
        </is>
      </c>
      <c r="B36" s="4" t="inlineStr"/>
      <c r="C36" s="26">
        <f>'Revenue build'!C33+'Revenue build'!C35</f>
        <v/>
      </c>
      <c r="D36" s="26">
        <f>'Revenue build'!D33+'Revenue build'!D35</f>
        <v/>
      </c>
      <c r="E36" s="26">
        <f>'Revenue build'!E33+'Revenue build'!E35</f>
        <v/>
      </c>
      <c r="F36" s="26">
        <f>'Revenue build'!F33+'Revenue build'!F35</f>
        <v/>
      </c>
      <c r="G36" s="26">
        <f>'Revenue build'!G33+'Revenue build'!G35</f>
        <v/>
      </c>
      <c r="H36" s="26">
        <f>'Revenue build'!H33+'Revenue build'!H35</f>
        <v/>
      </c>
      <c r="I36" s="26">
        <f>'Revenue build'!I33+'Revenue build'!I35</f>
        <v/>
      </c>
      <c r="J36" s="26">
        <f>'Revenue build'!J33+'Revenue build'!J35</f>
        <v/>
      </c>
      <c r="K36" s="26">
        <f>'Revenue build'!K33+'Revenue build'!K35</f>
        <v/>
      </c>
      <c r="L36" s="26">
        <f>'Revenue build'!L33+'Revenue build'!L35</f>
        <v/>
      </c>
      <c r="M36" s="26">
        <f>'Revenue build'!M33+'Revenue build'!M35</f>
        <v/>
      </c>
      <c r="N36" s="26">
        <f>'Revenue build'!N33+'Revenue build'!N35</f>
        <v/>
      </c>
      <c r="O36" s="26">
        <f>'Revenue build'!O33+'Revenue build'!O35</f>
        <v/>
      </c>
      <c r="P36" s="26">
        <f>'Revenue build'!P33+'Revenue build'!P35</f>
        <v/>
      </c>
      <c r="Q36" s="26">
        <f>'Revenue build'!Q33+'Revenue build'!Q35</f>
        <v/>
      </c>
      <c r="R36" s="26">
        <f>'Revenue build'!R33+'Revenue build'!R35</f>
        <v/>
      </c>
      <c r="S36" s="26">
        <f>'Revenue build'!S33+'Revenue build'!S35</f>
        <v/>
      </c>
      <c r="T36" s="26">
        <f>'Revenue build'!T33+'Revenue build'!T35</f>
        <v/>
      </c>
      <c r="U36" s="26">
        <f>'Revenue build'!U33+'Revenue build'!U35</f>
        <v/>
      </c>
      <c r="V36" s="26">
        <f>'Revenue build'!V33+'Revenue build'!V35</f>
        <v/>
      </c>
      <c r="W36" s="26">
        <f>'Revenue build'!W33+'Revenue build'!W35</f>
        <v/>
      </c>
      <c r="X36" s="26">
        <f>'Revenue build'!X33+'Revenue build'!X35</f>
        <v/>
      </c>
      <c r="Y36" s="26">
        <f>'Revenue build'!Y33+'Revenue build'!Y35</f>
        <v/>
      </c>
      <c r="Z36" s="26">
        <f>'Revenue build'!Z33+'Revenue build'!Z35</f>
        <v/>
      </c>
      <c r="AA36" s="26">
        <f>'Revenue build'!AA33+'Revenue build'!AA35</f>
        <v/>
      </c>
      <c r="AB36" s="26">
        <f>'Revenue build'!AB33+'Revenue build'!AB35</f>
        <v/>
      </c>
      <c r="AC36" s="26">
        <f>'Revenue build'!AC33+'Revenue build'!AC35</f>
        <v/>
      </c>
      <c r="AD36" s="26">
        <f>'Revenue build'!AD33+'Revenue build'!AD35</f>
        <v/>
      </c>
      <c r="AE36" s="26">
        <f>'Revenue build'!AE33+'Revenue build'!AE35</f>
        <v/>
      </c>
      <c r="AF36" s="26">
        <f>'Revenue build'!AF33+'Revenue build'!AF35</f>
        <v/>
      </c>
      <c r="AG36" s="26">
        <f>'Revenue build'!AG33+'Revenue build'!AG35</f>
        <v/>
      </c>
      <c r="AH36" s="26">
        <f>'Revenue build'!AH33+'Revenue build'!AH35</f>
        <v/>
      </c>
      <c r="AI36" s="26">
        <f>'Revenue build'!AI33+'Revenue build'!AI35</f>
        <v/>
      </c>
      <c r="AJ36" s="26">
        <f>'Revenue build'!AJ33+'Revenue build'!AJ35</f>
        <v/>
      </c>
      <c r="AK36" s="26">
        <f>'Revenue build'!AK33+'Revenue build'!AK35</f>
        <v/>
      </c>
      <c r="AL36" s="26">
        <f>'Revenue build'!AL33+'Revenue build'!AL35</f>
        <v/>
      </c>
      <c r="AN36" s="26">
        <f>SUMIF($C$5:$AL$5,AN$5,C36:AL36)</f>
        <v/>
      </c>
      <c r="AO36" s="26">
        <f>SUMIF($C$5:$AL$5,AO$5,C36:AL36)</f>
        <v/>
      </c>
      <c r="AP36" s="26">
        <f>SUMIF($C$5:$AL$5,AP$5,C36:AL36)</f>
        <v/>
      </c>
      <c r="AQ36" s="26">
        <f>SUM(C36:AL36)</f>
        <v/>
      </c>
    </row>
    <row r="38">
      <c r="A38" s="9" t="inlineStr">
        <is>
          <t>MATERNALINK (IN DEVELOPMENT)</t>
        </is>
      </c>
      <c r="B38" s="10" t="n"/>
      <c r="C38" s="10" t="n"/>
      <c r="D38" s="10" t="n"/>
      <c r="E38" s="10" t="n"/>
      <c r="F38" s="10" t="n"/>
      <c r="G38" s="10" t="n"/>
      <c r="H38" s="10" t="n"/>
      <c r="I38" s="10" t="n"/>
      <c r="J38" s="10" t="n"/>
      <c r="K38" s="10" t="n"/>
      <c r="L38" s="10" t="n"/>
      <c r="M38" s="10" t="n"/>
      <c r="N38" s="10" t="n"/>
      <c r="O38" s="10" t="n"/>
      <c r="P38" s="10" t="n"/>
      <c r="Q38" s="10" t="n"/>
      <c r="R38" s="10" t="n"/>
      <c r="S38" s="10" t="n"/>
      <c r="T38" s="10" t="n"/>
      <c r="U38" s="10" t="n"/>
      <c r="V38" s="10" t="n"/>
      <c r="W38" s="10" t="n"/>
      <c r="X38" s="10" t="n"/>
      <c r="Y38" s="10" t="n"/>
      <c r="Z38" s="10" t="n"/>
      <c r="AA38" s="10" t="n"/>
      <c r="AB38" s="10" t="n"/>
      <c r="AC38" s="10" t="n"/>
      <c r="AD38" s="10" t="n"/>
      <c r="AE38" s="10" t="n"/>
      <c r="AF38" s="10" t="n"/>
      <c r="AG38" s="10" t="n"/>
      <c r="AH38" s="10" t="n"/>
      <c r="AI38" s="10" t="n"/>
      <c r="AJ38" s="10" t="n"/>
      <c r="AK38" s="10" t="n"/>
      <c r="AL38" s="10" t="n"/>
      <c r="AM38" s="10" t="n"/>
      <c r="AN38" s="10" t="n"/>
      <c r="AO38" s="10" t="n"/>
      <c r="AP38" s="10" t="n"/>
      <c r="AQ38" s="10" t="n"/>
    </row>
    <row r="39">
      <c r="A39" s="22" t="inlineStr">
        <is>
          <t>Paid pilots started (1/0)</t>
        </is>
      </c>
      <c r="B39" s="4" t="inlineStr"/>
      <c r="C39" s="27">
        <f>IF(C3&gt;=Assumptions!$F$44,1,0)</f>
        <v/>
      </c>
      <c r="D39" s="27">
        <f>IF(D3&gt;=Assumptions!$F$44,1,0)</f>
        <v/>
      </c>
      <c r="E39" s="27">
        <f>IF(E3&gt;=Assumptions!$F$44,1,0)</f>
        <v/>
      </c>
      <c r="F39" s="27">
        <f>IF(F3&gt;=Assumptions!$F$44,1,0)</f>
        <v/>
      </c>
      <c r="G39" s="27">
        <f>IF(G3&gt;=Assumptions!$F$44,1,0)</f>
        <v/>
      </c>
      <c r="H39" s="27">
        <f>IF(H3&gt;=Assumptions!$F$44,1,0)</f>
        <v/>
      </c>
      <c r="I39" s="27">
        <f>IF(I3&gt;=Assumptions!$F$44,1,0)</f>
        <v/>
      </c>
      <c r="J39" s="27">
        <f>IF(J3&gt;=Assumptions!$F$44,1,0)</f>
        <v/>
      </c>
      <c r="K39" s="27">
        <f>IF(K3&gt;=Assumptions!$F$44,1,0)</f>
        <v/>
      </c>
      <c r="L39" s="27">
        <f>IF(L3&gt;=Assumptions!$F$44,1,0)</f>
        <v/>
      </c>
      <c r="M39" s="27">
        <f>IF(M3&gt;=Assumptions!$F$44,1,0)</f>
        <v/>
      </c>
      <c r="N39" s="27">
        <f>IF(N3&gt;=Assumptions!$F$44,1,0)</f>
        <v/>
      </c>
      <c r="O39" s="27">
        <f>IF(O3&gt;=Assumptions!$F$44,1,0)</f>
        <v/>
      </c>
      <c r="P39" s="27">
        <f>IF(P3&gt;=Assumptions!$F$44,1,0)</f>
        <v/>
      </c>
      <c r="Q39" s="27">
        <f>IF(Q3&gt;=Assumptions!$F$44,1,0)</f>
        <v/>
      </c>
      <c r="R39" s="27">
        <f>IF(R3&gt;=Assumptions!$F$44,1,0)</f>
        <v/>
      </c>
      <c r="S39" s="27">
        <f>IF(S3&gt;=Assumptions!$F$44,1,0)</f>
        <v/>
      </c>
      <c r="T39" s="27">
        <f>IF(T3&gt;=Assumptions!$F$44,1,0)</f>
        <v/>
      </c>
      <c r="U39" s="27">
        <f>IF(U3&gt;=Assumptions!$F$44,1,0)</f>
        <v/>
      </c>
      <c r="V39" s="27">
        <f>IF(V3&gt;=Assumptions!$F$44,1,0)</f>
        <v/>
      </c>
      <c r="W39" s="27">
        <f>IF(W3&gt;=Assumptions!$F$44,1,0)</f>
        <v/>
      </c>
      <c r="X39" s="27">
        <f>IF(X3&gt;=Assumptions!$F$44,1,0)</f>
        <v/>
      </c>
      <c r="Y39" s="27">
        <f>IF(Y3&gt;=Assumptions!$F$44,1,0)</f>
        <v/>
      </c>
      <c r="Z39" s="27">
        <f>IF(Z3&gt;=Assumptions!$F$44,1,0)</f>
        <v/>
      </c>
      <c r="AA39" s="27">
        <f>IF(AA3&gt;=Assumptions!$F$44,1,0)</f>
        <v/>
      </c>
      <c r="AB39" s="27">
        <f>IF(AB3&gt;=Assumptions!$F$44,1,0)</f>
        <v/>
      </c>
      <c r="AC39" s="27">
        <f>IF(AC3&gt;=Assumptions!$F$44,1,0)</f>
        <v/>
      </c>
      <c r="AD39" s="27">
        <f>IF(AD3&gt;=Assumptions!$F$44,1,0)</f>
        <v/>
      </c>
      <c r="AE39" s="27">
        <f>IF(AE3&gt;=Assumptions!$F$44,1,0)</f>
        <v/>
      </c>
      <c r="AF39" s="27">
        <f>IF(AF3&gt;=Assumptions!$F$44,1,0)</f>
        <v/>
      </c>
      <c r="AG39" s="27">
        <f>IF(AG3&gt;=Assumptions!$F$44,1,0)</f>
        <v/>
      </c>
      <c r="AH39" s="27">
        <f>IF(AH3&gt;=Assumptions!$F$44,1,0)</f>
        <v/>
      </c>
      <c r="AI39" s="27">
        <f>IF(AI3&gt;=Assumptions!$F$44,1,0)</f>
        <v/>
      </c>
      <c r="AJ39" s="27">
        <f>IF(AJ3&gt;=Assumptions!$F$44,1,0)</f>
        <v/>
      </c>
      <c r="AK39" s="27">
        <f>IF(AK3&gt;=Assumptions!$F$44,1,0)</f>
        <v/>
      </c>
      <c r="AL39" s="27">
        <f>IF(AL3&gt;=Assumptions!$F$44,1,0)</f>
        <v/>
      </c>
      <c r="AN39" s="27">
        <f>INDEX(C39:AL39,1,12)</f>
        <v/>
      </c>
      <c r="AO39" s="27">
        <f>INDEX(C39:AL39,1,24)</f>
        <v/>
      </c>
      <c r="AP39" s="27">
        <f>INDEX(C39:AL39,1,36)</f>
        <v/>
      </c>
      <c r="AQ39" s="27">
        <f>INDEX(C39:AL39,1,36)</f>
        <v/>
      </c>
    </row>
    <row r="40">
      <c r="A40" s="22" t="inlineStr">
        <is>
          <t>Active paid pilots</t>
        </is>
      </c>
      <c r="B40" s="4" t="inlineStr">
        <is>
          <t>count</t>
        </is>
      </c>
      <c r="C40" s="27">
        <f>'Revenue build'!C39*CHOOSE(C6,Assumptions!$F$45,Assumptions!$F$46,Assumptions!$F$47)</f>
        <v/>
      </c>
      <c r="D40" s="27">
        <f>'Revenue build'!D39*CHOOSE(D6,Assumptions!$F$45,Assumptions!$F$46,Assumptions!$F$47)</f>
        <v/>
      </c>
      <c r="E40" s="27">
        <f>'Revenue build'!E39*CHOOSE(E6,Assumptions!$F$45,Assumptions!$F$46,Assumptions!$F$47)</f>
        <v/>
      </c>
      <c r="F40" s="27">
        <f>'Revenue build'!F39*CHOOSE(F6,Assumptions!$F$45,Assumptions!$F$46,Assumptions!$F$47)</f>
        <v/>
      </c>
      <c r="G40" s="27">
        <f>'Revenue build'!G39*CHOOSE(G6,Assumptions!$F$45,Assumptions!$F$46,Assumptions!$F$47)</f>
        <v/>
      </c>
      <c r="H40" s="27">
        <f>'Revenue build'!H39*CHOOSE(H6,Assumptions!$F$45,Assumptions!$F$46,Assumptions!$F$47)</f>
        <v/>
      </c>
      <c r="I40" s="27">
        <f>'Revenue build'!I39*CHOOSE(I6,Assumptions!$F$45,Assumptions!$F$46,Assumptions!$F$47)</f>
        <v/>
      </c>
      <c r="J40" s="27">
        <f>'Revenue build'!J39*CHOOSE(J6,Assumptions!$F$45,Assumptions!$F$46,Assumptions!$F$47)</f>
        <v/>
      </c>
      <c r="K40" s="27">
        <f>'Revenue build'!K39*CHOOSE(K6,Assumptions!$F$45,Assumptions!$F$46,Assumptions!$F$47)</f>
        <v/>
      </c>
      <c r="L40" s="27">
        <f>'Revenue build'!L39*CHOOSE(L6,Assumptions!$F$45,Assumptions!$F$46,Assumptions!$F$47)</f>
        <v/>
      </c>
      <c r="M40" s="27">
        <f>'Revenue build'!M39*CHOOSE(M6,Assumptions!$F$45,Assumptions!$F$46,Assumptions!$F$47)</f>
        <v/>
      </c>
      <c r="N40" s="27">
        <f>'Revenue build'!N39*CHOOSE(N6,Assumptions!$F$45,Assumptions!$F$46,Assumptions!$F$47)</f>
        <v/>
      </c>
      <c r="O40" s="27">
        <f>'Revenue build'!O39*CHOOSE(O6,Assumptions!$F$45,Assumptions!$F$46,Assumptions!$F$47)</f>
        <v/>
      </c>
      <c r="P40" s="27">
        <f>'Revenue build'!P39*CHOOSE(P6,Assumptions!$F$45,Assumptions!$F$46,Assumptions!$F$47)</f>
        <v/>
      </c>
      <c r="Q40" s="27">
        <f>'Revenue build'!Q39*CHOOSE(Q6,Assumptions!$F$45,Assumptions!$F$46,Assumptions!$F$47)</f>
        <v/>
      </c>
      <c r="R40" s="27">
        <f>'Revenue build'!R39*CHOOSE(R6,Assumptions!$F$45,Assumptions!$F$46,Assumptions!$F$47)</f>
        <v/>
      </c>
      <c r="S40" s="27">
        <f>'Revenue build'!S39*CHOOSE(S6,Assumptions!$F$45,Assumptions!$F$46,Assumptions!$F$47)</f>
        <v/>
      </c>
      <c r="T40" s="27">
        <f>'Revenue build'!T39*CHOOSE(T6,Assumptions!$F$45,Assumptions!$F$46,Assumptions!$F$47)</f>
        <v/>
      </c>
      <c r="U40" s="27">
        <f>'Revenue build'!U39*CHOOSE(U6,Assumptions!$F$45,Assumptions!$F$46,Assumptions!$F$47)</f>
        <v/>
      </c>
      <c r="V40" s="27">
        <f>'Revenue build'!V39*CHOOSE(V6,Assumptions!$F$45,Assumptions!$F$46,Assumptions!$F$47)</f>
        <v/>
      </c>
      <c r="W40" s="27">
        <f>'Revenue build'!W39*CHOOSE(W6,Assumptions!$F$45,Assumptions!$F$46,Assumptions!$F$47)</f>
        <v/>
      </c>
      <c r="X40" s="27">
        <f>'Revenue build'!X39*CHOOSE(X6,Assumptions!$F$45,Assumptions!$F$46,Assumptions!$F$47)</f>
        <v/>
      </c>
      <c r="Y40" s="27">
        <f>'Revenue build'!Y39*CHOOSE(Y6,Assumptions!$F$45,Assumptions!$F$46,Assumptions!$F$47)</f>
        <v/>
      </c>
      <c r="Z40" s="27">
        <f>'Revenue build'!Z39*CHOOSE(Z6,Assumptions!$F$45,Assumptions!$F$46,Assumptions!$F$47)</f>
        <v/>
      </c>
      <c r="AA40" s="27">
        <f>'Revenue build'!AA39*CHOOSE(AA6,Assumptions!$F$45,Assumptions!$F$46,Assumptions!$F$47)</f>
        <v/>
      </c>
      <c r="AB40" s="27">
        <f>'Revenue build'!AB39*CHOOSE(AB6,Assumptions!$F$45,Assumptions!$F$46,Assumptions!$F$47)</f>
        <v/>
      </c>
      <c r="AC40" s="27">
        <f>'Revenue build'!AC39*CHOOSE(AC6,Assumptions!$F$45,Assumptions!$F$46,Assumptions!$F$47)</f>
        <v/>
      </c>
      <c r="AD40" s="27">
        <f>'Revenue build'!AD39*CHOOSE(AD6,Assumptions!$F$45,Assumptions!$F$46,Assumptions!$F$47)</f>
        <v/>
      </c>
      <c r="AE40" s="27">
        <f>'Revenue build'!AE39*CHOOSE(AE6,Assumptions!$F$45,Assumptions!$F$46,Assumptions!$F$47)</f>
        <v/>
      </c>
      <c r="AF40" s="27">
        <f>'Revenue build'!AF39*CHOOSE(AF6,Assumptions!$F$45,Assumptions!$F$46,Assumptions!$F$47)</f>
        <v/>
      </c>
      <c r="AG40" s="27">
        <f>'Revenue build'!AG39*CHOOSE(AG6,Assumptions!$F$45,Assumptions!$F$46,Assumptions!$F$47)</f>
        <v/>
      </c>
      <c r="AH40" s="27">
        <f>'Revenue build'!AH39*CHOOSE(AH6,Assumptions!$F$45,Assumptions!$F$46,Assumptions!$F$47)</f>
        <v/>
      </c>
      <c r="AI40" s="27">
        <f>'Revenue build'!AI39*CHOOSE(AI6,Assumptions!$F$45,Assumptions!$F$46,Assumptions!$F$47)</f>
        <v/>
      </c>
      <c r="AJ40" s="27">
        <f>'Revenue build'!AJ39*CHOOSE(AJ6,Assumptions!$F$45,Assumptions!$F$46,Assumptions!$F$47)</f>
        <v/>
      </c>
      <c r="AK40" s="27">
        <f>'Revenue build'!AK39*CHOOSE(AK6,Assumptions!$F$45,Assumptions!$F$46,Assumptions!$F$47)</f>
        <v/>
      </c>
      <c r="AL40" s="27">
        <f>'Revenue build'!AL39*CHOOSE(AL6,Assumptions!$F$45,Assumptions!$F$46,Assumptions!$F$47)</f>
        <v/>
      </c>
      <c r="AN40" s="27">
        <f>AVERAGEIF($C$5:$AL$5,AN$5,C40:AL40)</f>
        <v/>
      </c>
      <c r="AO40" s="27">
        <f>AVERAGEIF($C$5:$AL$5,AO$5,C40:AL40)</f>
        <v/>
      </c>
      <c r="AP40" s="27">
        <f>AVERAGEIF($C$5:$AL$5,AP$5,C40:AL40)</f>
        <v/>
      </c>
      <c r="AQ40" s="27">
        <f>AVERAGE(C40:AL40)</f>
        <v/>
      </c>
    </row>
    <row r="41">
      <c r="A41" s="22" t="inlineStr">
        <is>
          <t>Pilot revenue (pilots × value ÷ 12)</t>
        </is>
      </c>
      <c r="B41" s="4" t="inlineStr"/>
      <c r="C41" s="19">
        <f>'Revenue build'!C40*Assumptions!$F$48/12</f>
        <v/>
      </c>
      <c r="D41" s="19">
        <f>'Revenue build'!D40*Assumptions!$F$48/12</f>
        <v/>
      </c>
      <c r="E41" s="19">
        <f>'Revenue build'!E40*Assumptions!$F$48/12</f>
        <v/>
      </c>
      <c r="F41" s="19">
        <f>'Revenue build'!F40*Assumptions!$F$48/12</f>
        <v/>
      </c>
      <c r="G41" s="19">
        <f>'Revenue build'!G40*Assumptions!$F$48/12</f>
        <v/>
      </c>
      <c r="H41" s="19">
        <f>'Revenue build'!H40*Assumptions!$F$48/12</f>
        <v/>
      </c>
      <c r="I41" s="19">
        <f>'Revenue build'!I40*Assumptions!$F$48/12</f>
        <v/>
      </c>
      <c r="J41" s="19">
        <f>'Revenue build'!J40*Assumptions!$F$48/12</f>
        <v/>
      </c>
      <c r="K41" s="19">
        <f>'Revenue build'!K40*Assumptions!$F$48/12</f>
        <v/>
      </c>
      <c r="L41" s="19">
        <f>'Revenue build'!L40*Assumptions!$F$48/12</f>
        <v/>
      </c>
      <c r="M41" s="19">
        <f>'Revenue build'!M40*Assumptions!$F$48/12</f>
        <v/>
      </c>
      <c r="N41" s="19">
        <f>'Revenue build'!N40*Assumptions!$F$48/12</f>
        <v/>
      </c>
      <c r="O41" s="19">
        <f>'Revenue build'!O40*Assumptions!$F$48/12</f>
        <v/>
      </c>
      <c r="P41" s="19">
        <f>'Revenue build'!P40*Assumptions!$F$48/12</f>
        <v/>
      </c>
      <c r="Q41" s="19">
        <f>'Revenue build'!Q40*Assumptions!$F$48/12</f>
        <v/>
      </c>
      <c r="R41" s="19">
        <f>'Revenue build'!R40*Assumptions!$F$48/12</f>
        <v/>
      </c>
      <c r="S41" s="19">
        <f>'Revenue build'!S40*Assumptions!$F$48/12</f>
        <v/>
      </c>
      <c r="T41" s="19">
        <f>'Revenue build'!T40*Assumptions!$F$48/12</f>
        <v/>
      </c>
      <c r="U41" s="19">
        <f>'Revenue build'!U40*Assumptions!$F$48/12</f>
        <v/>
      </c>
      <c r="V41" s="19">
        <f>'Revenue build'!V40*Assumptions!$F$48/12</f>
        <v/>
      </c>
      <c r="W41" s="19">
        <f>'Revenue build'!W40*Assumptions!$F$48/12</f>
        <v/>
      </c>
      <c r="X41" s="19">
        <f>'Revenue build'!X40*Assumptions!$F$48/12</f>
        <v/>
      </c>
      <c r="Y41" s="19">
        <f>'Revenue build'!Y40*Assumptions!$F$48/12</f>
        <v/>
      </c>
      <c r="Z41" s="19">
        <f>'Revenue build'!Z40*Assumptions!$F$48/12</f>
        <v/>
      </c>
      <c r="AA41" s="19">
        <f>'Revenue build'!AA40*Assumptions!$F$48/12</f>
        <v/>
      </c>
      <c r="AB41" s="19">
        <f>'Revenue build'!AB40*Assumptions!$F$48/12</f>
        <v/>
      </c>
      <c r="AC41" s="19">
        <f>'Revenue build'!AC40*Assumptions!$F$48/12</f>
        <v/>
      </c>
      <c r="AD41" s="19">
        <f>'Revenue build'!AD40*Assumptions!$F$48/12</f>
        <v/>
      </c>
      <c r="AE41" s="19">
        <f>'Revenue build'!AE40*Assumptions!$F$48/12</f>
        <v/>
      </c>
      <c r="AF41" s="19">
        <f>'Revenue build'!AF40*Assumptions!$F$48/12</f>
        <v/>
      </c>
      <c r="AG41" s="19">
        <f>'Revenue build'!AG40*Assumptions!$F$48/12</f>
        <v/>
      </c>
      <c r="AH41" s="19">
        <f>'Revenue build'!AH40*Assumptions!$F$48/12</f>
        <v/>
      </c>
      <c r="AI41" s="19">
        <f>'Revenue build'!AI40*Assumptions!$F$48/12</f>
        <v/>
      </c>
      <c r="AJ41" s="19">
        <f>'Revenue build'!AJ40*Assumptions!$F$48/12</f>
        <v/>
      </c>
      <c r="AK41" s="19">
        <f>'Revenue build'!AK40*Assumptions!$F$48/12</f>
        <v/>
      </c>
      <c r="AL41" s="19">
        <f>'Revenue build'!AL40*Assumptions!$F$48/12</f>
        <v/>
      </c>
      <c r="AN41" s="19">
        <f>SUMIF($C$5:$AL$5,AN$5,C41:AL41)</f>
        <v/>
      </c>
      <c r="AO41" s="19">
        <f>SUMIF($C$5:$AL$5,AO$5,C41:AL41)</f>
        <v/>
      </c>
      <c r="AP41" s="19">
        <f>SUMIF($C$5:$AL$5,AP$5,C41:AL41)</f>
        <v/>
      </c>
      <c r="AQ41" s="19">
        <f>SUM(C41:AL41)</f>
        <v/>
      </c>
    </row>
    <row r="42">
      <c r="A42" s="22" t="inlineStr">
        <is>
          <t>Licence go-live month (base + delay)</t>
        </is>
      </c>
      <c r="B42" s="4" t="inlineStr">
        <is>
          <t>month</t>
        </is>
      </c>
      <c r="C42" s="27">
        <f>Assumptions!$F$50+Assumptions!$F$51</f>
        <v/>
      </c>
      <c r="D42" s="27">
        <f>Assumptions!$F$50+Assumptions!$F$51</f>
        <v/>
      </c>
      <c r="E42" s="27">
        <f>Assumptions!$F$50+Assumptions!$F$51</f>
        <v/>
      </c>
      <c r="F42" s="27">
        <f>Assumptions!$F$50+Assumptions!$F$51</f>
        <v/>
      </c>
      <c r="G42" s="27">
        <f>Assumptions!$F$50+Assumptions!$F$51</f>
        <v/>
      </c>
      <c r="H42" s="27">
        <f>Assumptions!$F$50+Assumptions!$F$51</f>
        <v/>
      </c>
      <c r="I42" s="27">
        <f>Assumptions!$F$50+Assumptions!$F$51</f>
        <v/>
      </c>
      <c r="J42" s="27">
        <f>Assumptions!$F$50+Assumptions!$F$51</f>
        <v/>
      </c>
      <c r="K42" s="27">
        <f>Assumptions!$F$50+Assumptions!$F$51</f>
        <v/>
      </c>
      <c r="L42" s="27">
        <f>Assumptions!$F$50+Assumptions!$F$51</f>
        <v/>
      </c>
      <c r="M42" s="27">
        <f>Assumptions!$F$50+Assumptions!$F$51</f>
        <v/>
      </c>
      <c r="N42" s="27">
        <f>Assumptions!$F$50+Assumptions!$F$51</f>
        <v/>
      </c>
      <c r="O42" s="27">
        <f>Assumptions!$F$50+Assumptions!$F$51</f>
        <v/>
      </c>
      <c r="P42" s="27">
        <f>Assumptions!$F$50+Assumptions!$F$51</f>
        <v/>
      </c>
      <c r="Q42" s="27">
        <f>Assumptions!$F$50+Assumptions!$F$51</f>
        <v/>
      </c>
      <c r="R42" s="27">
        <f>Assumptions!$F$50+Assumptions!$F$51</f>
        <v/>
      </c>
      <c r="S42" s="27">
        <f>Assumptions!$F$50+Assumptions!$F$51</f>
        <v/>
      </c>
      <c r="T42" s="27">
        <f>Assumptions!$F$50+Assumptions!$F$51</f>
        <v/>
      </c>
      <c r="U42" s="27">
        <f>Assumptions!$F$50+Assumptions!$F$51</f>
        <v/>
      </c>
      <c r="V42" s="27">
        <f>Assumptions!$F$50+Assumptions!$F$51</f>
        <v/>
      </c>
      <c r="W42" s="27">
        <f>Assumptions!$F$50+Assumptions!$F$51</f>
        <v/>
      </c>
      <c r="X42" s="27">
        <f>Assumptions!$F$50+Assumptions!$F$51</f>
        <v/>
      </c>
      <c r="Y42" s="27">
        <f>Assumptions!$F$50+Assumptions!$F$51</f>
        <v/>
      </c>
      <c r="Z42" s="27">
        <f>Assumptions!$F$50+Assumptions!$F$51</f>
        <v/>
      </c>
      <c r="AA42" s="27">
        <f>Assumptions!$F$50+Assumptions!$F$51</f>
        <v/>
      </c>
      <c r="AB42" s="27">
        <f>Assumptions!$F$50+Assumptions!$F$51</f>
        <v/>
      </c>
      <c r="AC42" s="27">
        <f>Assumptions!$F$50+Assumptions!$F$51</f>
        <v/>
      </c>
      <c r="AD42" s="27">
        <f>Assumptions!$F$50+Assumptions!$F$51</f>
        <v/>
      </c>
      <c r="AE42" s="27">
        <f>Assumptions!$F$50+Assumptions!$F$51</f>
        <v/>
      </c>
      <c r="AF42" s="27">
        <f>Assumptions!$F$50+Assumptions!$F$51</f>
        <v/>
      </c>
      <c r="AG42" s="27">
        <f>Assumptions!$F$50+Assumptions!$F$51</f>
        <v/>
      </c>
      <c r="AH42" s="27">
        <f>Assumptions!$F$50+Assumptions!$F$51</f>
        <v/>
      </c>
      <c r="AI42" s="27">
        <f>Assumptions!$F$50+Assumptions!$F$51</f>
        <v/>
      </c>
      <c r="AJ42" s="27">
        <f>Assumptions!$F$50+Assumptions!$F$51</f>
        <v/>
      </c>
      <c r="AK42" s="27">
        <f>Assumptions!$F$50+Assumptions!$F$51</f>
        <v/>
      </c>
      <c r="AL42" s="27">
        <f>Assumptions!$F$50+Assumptions!$F$51</f>
        <v/>
      </c>
      <c r="AN42" s="27">
        <f>INDEX(C42:AL42,1,12)</f>
        <v/>
      </c>
      <c r="AO42" s="27">
        <f>INDEX(C42:AL42,1,24)</f>
        <v/>
      </c>
      <c r="AP42" s="27">
        <f>INDEX(C42:AL42,1,36)</f>
        <v/>
      </c>
      <c r="AQ42" s="27">
        <f>INDEX(C42:AL42,1,36)</f>
        <v/>
      </c>
    </row>
    <row r="43">
      <c r="A43" s="22" t="inlineStr">
        <is>
          <t>Licences live (1/0)</t>
        </is>
      </c>
      <c r="B43" s="4" t="inlineStr"/>
      <c r="C43" s="27">
        <f>IF(C3&gt;='Revenue build'!C42,1,0)</f>
        <v/>
      </c>
      <c r="D43" s="27">
        <f>IF(D3&gt;='Revenue build'!D42,1,0)</f>
        <v/>
      </c>
      <c r="E43" s="27">
        <f>IF(E3&gt;='Revenue build'!E42,1,0)</f>
        <v/>
      </c>
      <c r="F43" s="27">
        <f>IF(F3&gt;='Revenue build'!F42,1,0)</f>
        <v/>
      </c>
      <c r="G43" s="27">
        <f>IF(G3&gt;='Revenue build'!G42,1,0)</f>
        <v/>
      </c>
      <c r="H43" s="27">
        <f>IF(H3&gt;='Revenue build'!H42,1,0)</f>
        <v/>
      </c>
      <c r="I43" s="27">
        <f>IF(I3&gt;='Revenue build'!I42,1,0)</f>
        <v/>
      </c>
      <c r="J43" s="27">
        <f>IF(J3&gt;='Revenue build'!J42,1,0)</f>
        <v/>
      </c>
      <c r="K43" s="27">
        <f>IF(K3&gt;='Revenue build'!K42,1,0)</f>
        <v/>
      </c>
      <c r="L43" s="27">
        <f>IF(L3&gt;='Revenue build'!L42,1,0)</f>
        <v/>
      </c>
      <c r="M43" s="27">
        <f>IF(M3&gt;='Revenue build'!M42,1,0)</f>
        <v/>
      </c>
      <c r="N43" s="27">
        <f>IF(N3&gt;='Revenue build'!N42,1,0)</f>
        <v/>
      </c>
      <c r="O43" s="27">
        <f>IF(O3&gt;='Revenue build'!O42,1,0)</f>
        <v/>
      </c>
      <c r="P43" s="27">
        <f>IF(P3&gt;='Revenue build'!P42,1,0)</f>
        <v/>
      </c>
      <c r="Q43" s="27">
        <f>IF(Q3&gt;='Revenue build'!Q42,1,0)</f>
        <v/>
      </c>
      <c r="R43" s="27">
        <f>IF(R3&gt;='Revenue build'!R42,1,0)</f>
        <v/>
      </c>
      <c r="S43" s="27">
        <f>IF(S3&gt;='Revenue build'!S42,1,0)</f>
        <v/>
      </c>
      <c r="T43" s="27">
        <f>IF(T3&gt;='Revenue build'!T42,1,0)</f>
        <v/>
      </c>
      <c r="U43" s="27">
        <f>IF(U3&gt;='Revenue build'!U42,1,0)</f>
        <v/>
      </c>
      <c r="V43" s="27">
        <f>IF(V3&gt;='Revenue build'!V42,1,0)</f>
        <v/>
      </c>
      <c r="W43" s="27">
        <f>IF(W3&gt;='Revenue build'!W42,1,0)</f>
        <v/>
      </c>
      <c r="X43" s="27">
        <f>IF(X3&gt;='Revenue build'!X42,1,0)</f>
        <v/>
      </c>
      <c r="Y43" s="27">
        <f>IF(Y3&gt;='Revenue build'!Y42,1,0)</f>
        <v/>
      </c>
      <c r="Z43" s="27">
        <f>IF(Z3&gt;='Revenue build'!Z42,1,0)</f>
        <v/>
      </c>
      <c r="AA43" s="27">
        <f>IF(AA3&gt;='Revenue build'!AA42,1,0)</f>
        <v/>
      </c>
      <c r="AB43" s="27">
        <f>IF(AB3&gt;='Revenue build'!AB42,1,0)</f>
        <v/>
      </c>
      <c r="AC43" s="27">
        <f>IF(AC3&gt;='Revenue build'!AC42,1,0)</f>
        <v/>
      </c>
      <c r="AD43" s="27">
        <f>IF(AD3&gt;='Revenue build'!AD42,1,0)</f>
        <v/>
      </c>
      <c r="AE43" s="27">
        <f>IF(AE3&gt;='Revenue build'!AE42,1,0)</f>
        <v/>
      </c>
      <c r="AF43" s="27">
        <f>IF(AF3&gt;='Revenue build'!AF42,1,0)</f>
        <v/>
      </c>
      <c r="AG43" s="27">
        <f>IF(AG3&gt;='Revenue build'!AG42,1,0)</f>
        <v/>
      </c>
      <c r="AH43" s="27">
        <f>IF(AH3&gt;='Revenue build'!AH42,1,0)</f>
        <v/>
      </c>
      <c r="AI43" s="27">
        <f>IF(AI3&gt;='Revenue build'!AI42,1,0)</f>
        <v/>
      </c>
      <c r="AJ43" s="27">
        <f>IF(AJ3&gt;='Revenue build'!AJ42,1,0)</f>
        <v/>
      </c>
      <c r="AK43" s="27">
        <f>IF(AK3&gt;='Revenue build'!AK42,1,0)</f>
        <v/>
      </c>
      <c r="AL43" s="27">
        <f>IF(AL3&gt;='Revenue build'!AL42,1,0)</f>
        <v/>
      </c>
      <c r="AN43" s="27">
        <f>INDEX(C43:AL43,1,12)</f>
        <v/>
      </c>
      <c r="AO43" s="27">
        <f>INDEX(C43:AL43,1,24)</f>
        <v/>
      </c>
      <c r="AP43" s="27">
        <f>INDEX(C43:AL43,1,36)</f>
        <v/>
      </c>
      <c r="AQ43" s="27">
        <f>INDEX(C43:AL43,1,36)</f>
        <v/>
      </c>
    </row>
    <row r="44">
      <c r="A44" s="22" t="inlineStr">
        <is>
          <t>UK women enrolled</t>
        </is>
      </c>
      <c r="B44" s="4" t="inlineStr">
        <is>
          <t>women</t>
        </is>
      </c>
      <c r="C44" s="28">
        <f>'Revenue build'!C43*(Assumptions!$F$52+Assumptions!$F$53*(C3-'Revenue build'!C42))</f>
        <v/>
      </c>
      <c r="D44" s="28">
        <f>'Revenue build'!D43*(Assumptions!$F$52+Assumptions!$F$53*(D3-'Revenue build'!D42))</f>
        <v/>
      </c>
      <c r="E44" s="28">
        <f>'Revenue build'!E43*(Assumptions!$F$52+Assumptions!$F$53*(E3-'Revenue build'!E42))</f>
        <v/>
      </c>
      <c r="F44" s="28">
        <f>'Revenue build'!F43*(Assumptions!$F$52+Assumptions!$F$53*(F3-'Revenue build'!F42))</f>
        <v/>
      </c>
      <c r="G44" s="28">
        <f>'Revenue build'!G43*(Assumptions!$F$52+Assumptions!$F$53*(G3-'Revenue build'!G42))</f>
        <v/>
      </c>
      <c r="H44" s="28">
        <f>'Revenue build'!H43*(Assumptions!$F$52+Assumptions!$F$53*(H3-'Revenue build'!H42))</f>
        <v/>
      </c>
      <c r="I44" s="28">
        <f>'Revenue build'!I43*(Assumptions!$F$52+Assumptions!$F$53*(I3-'Revenue build'!I42))</f>
        <v/>
      </c>
      <c r="J44" s="28">
        <f>'Revenue build'!J43*(Assumptions!$F$52+Assumptions!$F$53*(J3-'Revenue build'!J42))</f>
        <v/>
      </c>
      <c r="K44" s="28">
        <f>'Revenue build'!K43*(Assumptions!$F$52+Assumptions!$F$53*(K3-'Revenue build'!K42))</f>
        <v/>
      </c>
      <c r="L44" s="28">
        <f>'Revenue build'!L43*(Assumptions!$F$52+Assumptions!$F$53*(L3-'Revenue build'!L42))</f>
        <v/>
      </c>
      <c r="M44" s="28">
        <f>'Revenue build'!M43*(Assumptions!$F$52+Assumptions!$F$53*(M3-'Revenue build'!M42))</f>
        <v/>
      </c>
      <c r="N44" s="28">
        <f>'Revenue build'!N43*(Assumptions!$F$52+Assumptions!$F$53*(N3-'Revenue build'!N42))</f>
        <v/>
      </c>
      <c r="O44" s="28">
        <f>'Revenue build'!O43*(Assumptions!$F$52+Assumptions!$F$53*(O3-'Revenue build'!O42))</f>
        <v/>
      </c>
      <c r="P44" s="28">
        <f>'Revenue build'!P43*(Assumptions!$F$52+Assumptions!$F$53*(P3-'Revenue build'!P42))</f>
        <v/>
      </c>
      <c r="Q44" s="28">
        <f>'Revenue build'!Q43*(Assumptions!$F$52+Assumptions!$F$53*(Q3-'Revenue build'!Q42))</f>
        <v/>
      </c>
      <c r="R44" s="28">
        <f>'Revenue build'!R43*(Assumptions!$F$52+Assumptions!$F$53*(R3-'Revenue build'!R42))</f>
        <v/>
      </c>
      <c r="S44" s="28">
        <f>'Revenue build'!S43*(Assumptions!$F$52+Assumptions!$F$53*(S3-'Revenue build'!S42))</f>
        <v/>
      </c>
      <c r="T44" s="28">
        <f>'Revenue build'!T43*(Assumptions!$F$52+Assumptions!$F$53*(T3-'Revenue build'!T42))</f>
        <v/>
      </c>
      <c r="U44" s="28">
        <f>'Revenue build'!U43*(Assumptions!$F$52+Assumptions!$F$53*(U3-'Revenue build'!U42))</f>
        <v/>
      </c>
      <c r="V44" s="28">
        <f>'Revenue build'!V43*(Assumptions!$F$52+Assumptions!$F$53*(V3-'Revenue build'!V42))</f>
        <v/>
      </c>
      <c r="W44" s="28">
        <f>'Revenue build'!W43*(Assumptions!$F$52+Assumptions!$F$53*(W3-'Revenue build'!W42))</f>
        <v/>
      </c>
      <c r="X44" s="28">
        <f>'Revenue build'!X43*(Assumptions!$F$52+Assumptions!$F$53*(X3-'Revenue build'!X42))</f>
        <v/>
      </c>
      <c r="Y44" s="28">
        <f>'Revenue build'!Y43*(Assumptions!$F$52+Assumptions!$F$53*(Y3-'Revenue build'!Y42))</f>
        <v/>
      </c>
      <c r="Z44" s="28">
        <f>'Revenue build'!Z43*(Assumptions!$F$52+Assumptions!$F$53*(Z3-'Revenue build'!Z42))</f>
        <v/>
      </c>
      <c r="AA44" s="28">
        <f>'Revenue build'!AA43*(Assumptions!$F$52+Assumptions!$F$53*(AA3-'Revenue build'!AA42))</f>
        <v/>
      </c>
      <c r="AB44" s="28">
        <f>'Revenue build'!AB43*(Assumptions!$F$52+Assumptions!$F$53*(AB3-'Revenue build'!AB42))</f>
        <v/>
      </c>
      <c r="AC44" s="28">
        <f>'Revenue build'!AC43*(Assumptions!$F$52+Assumptions!$F$53*(AC3-'Revenue build'!AC42))</f>
        <v/>
      </c>
      <c r="AD44" s="28">
        <f>'Revenue build'!AD43*(Assumptions!$F$52+Assumptions!$F$53*(AD3-'Revenue build'!AD42))</f>
        <v/>
      </c>
      <c r="AE44" s="28">
        <f>'Revenue build'!AE43*(Assumptions!$F$52+Assumptions!$F$53*(AE3-'Revenue build'!AE42))</f>
        <v/>
      </c>
      <c r="AF44" s="28">
        <f>'Revenue build'!AF43*(Assumptions!$F$52+Assumptions!$F$53*(AF3-'Revenue build'!AF42))</f>
        <v/>
      </c>
      <c r="AG44" s="28">
        <f>'Revenue build'!AG43*(Assumptions!$F$52+Assumptions!$F$53*(AG3-'Revenue build'!AG42))</f>
        <v/>
      </c>
      <c r="AH44" s="28">
        <f>'Revenue build'!AH43*(Assumptions!$F$52+Assumptions!$F$53*(AH3-'Revenue build'!AH42))</f>
        <v/>
      </c>
      <c r="AI44" s="28">
        <f>'Revenue build'!AI43*(Assumptions!$F$52+Assumptions!$F$53*(AI3-'Revenue build'!AI42))</f>
        <v/>
      </c>
      <c r="AJ44" s="28">
        <f>'Revenue build'!AJ43*(Assumptions!$F$52+Assumptions!$F$53*(AJ3-'Revenue build'!AJ42))</f>
        <v/>
      </c>
      <c r="AK44" s="28">
        <f>'Revenue build'!AK43*(Assumptions!$F$52+Assumptions!$F$53*(AK3-'Revenue build'!AK42))</f>
        <v/>
      </c>
      <c r="AL44" s="28">
        <f>'Revenue build'!AL43*(Assumptions!$F$52+Assumptions!$F$53*(AL3-'Revenue build'!AL42))</f>
        <v/>
      </c>
      <c r="AN44" s="28">
        <f>INDEX(C44:AL44,1,12)</f>
        <v/>
      </c>
      <c r="AO44" s="28">
        <f>INDEX(C44:AL44,1,24)</f>
        <v/>
      </c>
      <c r="AP44" s="28">
        <f>INDEX(C44:AL44,1,36)</f>
        <v/>
      </c>
      <c r="AQ44" s="28">
        <f>INDEX(C44:AL44,1,36)</f>
        <v/>
      </c>
    </row>
    <row r="45">
      <c r="A45" s="22" t="inlineStr">
        <is>
          <t>UK licence revenue (women × £/yr ÷ 12)</t>
        </is>
      </c>
      <c r="B45" s="4" t="inlineStr"/>
      <c r="C45" s="19">
        <f>'Revenue build'!C44*Assumptions!$F$54/12</f>
        <v/>
      </c>
      <c r="D45" s="19">
        <f>'Revenue build'!D44*Assumptions!$F$54/12</f>
        <v/>
      </c>
      <c r="E45" s="19">
        <f>'Revenue build'!E44*Assumptions!$F$54/12</f>
        <v/>
      </c>
      <c r="F45" s="19">
        <f>'Revenue build'!F44*Assumptions!$F$54/12</f>
        <v/>
      </c>
      <c r="G45" s="19">
        <f>'Revenue build'!G44*Assumptions!$F$54/12</f>
        <v/>
      </c>
      <c r="H45" s="19">
        <f>'Revenue build'!H44*Assumptions!$F$54/12</f>
        <v/>
      </c>
      <c r="I45" s="19">
        <f>'Revenue build'!I44*Assumptions!$F$54/12</f>
        <v/>
      </c>
      <c r="J45" s="19">
        <f>'Revenue build'!J44*Assumptions!$F$54/12</f>
        <v/>
      </c>
      <c r="K45" s="19">
        <f>'Revenue build'!K44*Assumptions!$F$54/12</f>
        <v/>
      </c>
      <c r="L45" s="19">
        <f>'Revenue build'!L44*Assumptions!$F$54/12</f>
        <v/>
      </c>
      <c r="M45" s="19">
        <f>'Revenue build'!M44*Assumptions!$F$54/12</f>
        <v/>
      </c>
      <c r="N45" s="19">
        <f>'Revenue build'!N44*Assumptions!$F$54/12</f>
        <v/>
      </c>
      <c r="O45" s="19">
        <f>'Revenue build'!O44*Assumptions!$F$54/12</f>
        <v/>
      </c>
      <c r="P45" s="19">
        <f>'Revenue build'!P44*Assumptions!$F$54/12</f>
        <v/>
      </c>
      <c r="Q45" s="19">
        <f>'Revenue build'!Q44*Assumptions!$F$54/12</f>
        <v/>
      </c>
      <c r="R45" s="19">
        <f>'Revenue build'!R44*Assumptions!$F$54/12</f>
        <v/>
      </c>
      <c r="S45" s="19">
        <f>'Revenue build'!S44*Assumptions!$F$54/12</f>
        <v/>
      </c>
      <c r="T45" s="19">
        <f>'Revenue build'!T44*Assumptions!$F$54/12</f>
        <v/>
      </c>
      <c r="U45" s="19">
        <f>'Revenue build'!U44*Assumptions!$F$54/12</f>
        <v/>
      </c>
      <c r="V45" s="19">
        <f>'Revenue build'!V44*Assumptions!$F$54/12</f>
        <v/>
      </c>
      <c r="W45" s="19">
        <f>'Revenue build'!W44*Assumptions!$F$54/12</f>
        <v/>
      </c>
      <c r="X45" s="19">
        <f>'Revenue build'!X44*Assumptions!$F$54/12</f>
        <v/>
      </c>
      <c r="Y45" s="19">
        <f>'Revenue build'!Y44*Assumptions!$F$54/12</f>
        <v/>
      </c>
      <c r="Z45" s="19">
        <f>'Revenue build'!Z44*Assumptions!$F$54/12</f>
        <v/>
      </c>
      <c r="AA45" s="19">
        <f>'Revenue build'!AA44*Assumptions!$F$54/12</f>
        <v/>
      </c>
      <c r="AB45" s="19">
        <f>'Revenue build'!AB44*Assumptions!$F$54/12</f>
        <v/>
      </c>
      <c r="AC45" s="19">
        <f>'Revenue build'!AC44*Assumptions!$F$54/12</f>
        <v/>
      </c>
      <c r="AD45" s="19">
        <f>'Revenue build'!AD44*Assumptions!$F$54/12</f>
        <v/>
      </c>
      <c r="AE45" s="19">
        <f>'Revenue build'!AE44*Assumptions!$F$54/12</f>
        <v/>
      </c>
      <c r="AF45" s="19">
        <f>'Revenue build'!AF44*Assumptions!$F$54/12</f>
        <v/>
      </c>
      <c r="AG45" s="19">
        <f>'Revenue build'!AG44*Assumptions!$F$54/12</f>
        <v/>
      </c>
      <c r="AH45" s="19">
        <f>'Revenue build'!AH44*Assumptions!$F$54/12</f>
        <v/>
      </c>
      <c r="AI45" s="19">
        <f>'Revenue build'!AI44*Assumptions!$F$54/12</f>
        <v/>
      </c>
      <c r="AJ45" s="19">
        <f>'Revenue build'!AJ44*Assumptions!$F$54/12</f>
        <v/>
      </c>
      <c r="AK45" s="19">
        <f>'Revenue build'!AK44*Assumptions!$F$54/12</f>
        <v/>
      </c>
      <c r="AL45" s="19">
        <f>'Revenue build'!AL44*Assumptions!$F$54/12</f>
        <v/>
      </c>
      <c r="AN45" s="19">
        <f>SUMIF($C$5:$AL$5,AN$5,C45:AL45)</f>
        <v/>
      </c>
      <c r="AO45" s="19">
        <f>SUMIF($C$5:$AL$5,AO$5,C45:AL45)</f>
        <v/>
      </c>
      <c r="AP45" s="19">
        <f>SUMIF($C$5:$AL$5,AP$5,C45:AL45)</f>
        <v/>
      </c>
      <c r="AQ45" s="19">
        <f>SUM(C45:AL45)</f>
        <v/>
      </c>
    </row>
    <row r="46">
      <c r="A46" s="22" t="inlineStr">
        <is>
          <t>Africa women enrolled</t>
        </is>
      </c>
      <c r="B46" s="4" t="inlineStr">
        <is>
          <t>women</t>
        </is>
      </c>
      <c r="C46" s="28">
        <f>'Revenue build'!C43*(Assumptions!$F$56+Assumptions!$F$57*(C3-'Revenue build'!C42))</f>
        <v/>
      </c>
      <c r="D46" s="28">
        <f>'Revenue build'!D43*(Assumptions!$F$56+Assumptions!$F$57*(D3-'Revenue build'!D42))</f>
        <v/>
      </c>
      <c r="E46" s="28">
        <f>'Revenue build'!E43*(Assumptions!$F$56+Assumptions!$F$57*(E3-'Revenue build'!E42))</f>
        <v/>
      </c>
      <c r="F46" s="28">
        <f>'Revenue build'!F43*(Assumptions!$F$56+Assumptions!$F$57*(F3-'Revenue build'!F42))</f>
        <v/>
      </c>
      <c r="G46" s="28">
        <f>'Revenue build'!G43*(Assumptions!$F$56+Assumptions!$F$57*(G3-'Revenue build'!G42))</f>
        <v/>
      </c>
      <c r="H46" s="28">
        <f>'Revenue build'!H43*(Assumptions!$F$56+Assumptions!$F$57*(H3-'Revenue build'!H42))</f>
        <v/>
      </c>
      <c r="I46" s="28">
        <f>'Revenue build'!I43*(Assumptions!$F$56+Assumptions!$F$57*(I3-'Revenue build'!I42))</f>
        <v/>
      </c>
      <c r="J46" s="28">
        <f>'Revenue build'!J43*(Assumptions!$F$56+Assumptions!$F$57*(J3-'Revenue build'!J42))</f>
        <v/>
      </c>
      <c r="K46" s="28">
        <f>'Revenue build'!K43*(Assumptions!$F$56+Assumptions!$F$57*(K3-'Revenue build'!K42))</f>
        <v/>
      </c>
      <c r="L46" s="28">
        <f>'Revenue build'!L43*(Assumptions!$F$56+Assumptions!$F$57*(L3-'Revenue build'!L42))</f>
        <v/>
      </c>
      <c r="M46" s="28">
        <f>'Revenue build'!M43*(Assumptions!$F$56+Assumptions!$F$57*(M3-'Revenue build'!M42))</f>
        <v/>
      </c>
      <c r="N46" s="28">
        <f>'Revenue build'!N43*(Assumptions!$F$56+Assumptions!$F$57*(N3-'Revenue build'!N42))</f>
        <v/>
      </c>
      <c r="O46" s="28">
        <f>'Revenue build'!O43*(Assumptions!$F$56+Assumptions!$F$57*(O3-'Revenue build'!O42))</f>
        <v/>
      </c>
      <c r="P46" s="28">
        <f>'Revenue build'!P43*(Assumptions!$F$56+Assumptions!$F$57*(P3-'Revenue build'!P42))</f>
        <v/>
      </c>
      <c r="Q46" s="28">
        <f>'Revenue build'!Q43*(Assumptions!$F$56+Assumptions!$F$57*(Q3-'Revenue build'!Q42))</f>
        <v/>
      </c>
      <c r="R46" s="28">
        <f>'Revenue build'!R43*(Assumptions!$F$56+Assumptions!$F$57*(R3-'Revenue build'!R42))</f>
        <v/>
      </c>
      <c r="S46" s="28">
        <f>'Revenue build'!S43*(Assumptions!$F$56+Assumptions!$F$57*(S3-'Revenue build'!S42))</f>
        <v/>
      </c>
      <c r="T46" s="28">
        <f>'Revenue build'!T43*(Assumptions!$F$56+Assumptions!$F$57*(T3-'Revenue build'!T42))</f>
        <v/>
      </c>
      <c r="U46" s="28">
        <f>'Revenue build'!U43*(Assumptions!$F$56+Assumptions!$F$57*(U3-'Revenue build'!U42))</f>
        <v/>
      </c>
      <c r="V46" s="28">
        <f>'Revenue build'!V43*(Assumptions!$F$56+Assumptions!$F$57*(V3-'Revenue build'!V42))</f>
        <v/>
      </c>
      <c r="W46" s="28">
        <f>'Revenue build'!W43*(Assumptions!$F$56+Assumptions!$F$57*(W3-'Revenue build'!W42))</f>
        <v/>
      </c>
      <c r="X46" s="28">
        <f>'Revenue build'!X43*(Assumptions!$F$56+Assumptions!$F$57*(X3-'Revenue build'!X42))</f>
        <v/>
      </c>
      <c r="Y46" s="28">
        <f>'Revenue build'!Y43*(Assumptions!$F$56+Assumptions!$F$57*(Y3-'Revenue build'!Y42))</f>
        <v/>
      </c>
      <c r="Z46" s="28">
        <f>'Revenue build'!Z43*(Assumptions!$F$56+Assumptions!$F$57*(Z3-'Revenue build'!Z42))</f>
        <v/>
      </c>
      <c r="AA46" s="28">
        <f>'Revenue build'!AA43*(Assumptions!$F$56+Assumptions!$F$57*(AA3-'Revenue build'!AA42))</f>
        <v/>
      </c>
      <c r="AB46" s="28">
        <f>'Revenue build'!AB43*(Assumptions!$F$56+Assumptions!$F$57*(AB3-'Revenue build'!AB42))</f>
        <v/>
      </c>
      <c r="AC46" s="28">
        <f>'Revenue build'!AC43*(Assumptions!$F$56+Assumptions!$F$57*(AC3-'Revenue build'!AC42))</f>
        <v/>
      </c>
      <c r="AD46" s="28">
        <f>'Revenue build'!AD43*(Assumptions!$F$56+Assumptions!$F$57*(AD3-'Revenue build'!AD42))</f>
        <v/>
      </c>
      <c r="AE46" s="28">
        <f>'Revenue build'!AE43*(Assumptions!$F$56+Assumptions!$F$57*(AE3-'Revenue build'!AE42))</f>
        <v/>
      </c>
      <c r="AF46" s="28">
        <f>'Revenue build'!AF43*(Assumptions!$F$56+Assumptions!$F$57*(AF3-'Revenue build'!AF42))</f>
        <v/>
      </c>
      <c r="AG46" s="28">
        <f>'Revenue build'!AG43*(Assumptions!$F$56+Assumptions!$F$57*(AG3-'Revenue build'!AG42))</f>
        <v/>
      </c>
      <c r="AH46" s="28">
        <f>'Revenue build'!AH43*(Assumptions!$F$56+Assumptions!$F$57*(AH3-'Revenue build'!AH42))</f>
        <v/>
      </c>
      <c r="AI46" s="28">
        <f>'Revenue build'!AI43*(Assumptions!$F$56+Assumptions!$F$57*(AI3-'Revenue build'!AI42))</f>
        <v/>
      </c>
      <c r="AJ46" s="28">
        <f>'Revenue build'!AJ43*(Assumptions!$F$56+Assumptions!$F$57*(AJ3-'Revenue build'!AJ42))</f>
        <v/>
      </c>
      <c r="AK46" s="28">
        <f>'Revenue build'!AK43*(Assumptions!$F$56+Assumptions!$F$57*(AK3-'Revenue build'!AK42))</f>
        <v/>
      </c>
      <c r="AL46" s="28">
        <f>'Revenue build'!AL43*(Assumptions!$F$56+Assumptions!$F$57*(AL3-'Revenue build'!AL42))</f>
        <v/>
      </c>
      <c r="AN46" s="28">
        <f>INDEX(C46:AL46,1,12)</f>
        <v/>
      </c>
      <c r="AO46" s="28">
        <f>INDEX(C46:AL46,1,24)</f>
        <v/>
      </c>
      <c r="AP46" s="28">
        <f>INDEX(C46:AL46,1,36)</f>
        <v/>
      </c>
      <c r="AQ46" s="28">
        <f>INDEX(C46:AL46,1,36)</f>
        <v/>
      </c>
    </row>
    <row r="47">
      <c r="A47" s="22" t="inlineStr">
        <is>
          <t>Africa licence revenue (women × £/yr ÷ 12)</t>
        </is>
      </c>
      <c r="B47" s="4" t="inlineStr"/>
      <c r="C47" s="19">
        <f>'Revenue build'!C46*Assumptions!$F$58/12</f>
        <v/>
      </c>
      <c r="D47" s="19">
        <f>'Revenue build'!D46*Assumptions!$F$58/12</f>
        <v/>
      </c>
      <c r="E47" s="19">
        <f>'Revenue build'!E46*Assumptions!$F$58/12</f>
        <v/>
      </c>
      <c r="F47" s="19">
        <f>'Revenue build'!F46*Assumptions!$F$58/12</f>
        <v/>
      </c>
      <c r="G47" s="19">
        <f>'Revenue build'!G46*Assumptions!$F$58/12</f>
        <v/>
      </c>
      <c r="H47" s="19">
        <f>'Revenue build'!H46*Assumptions!$F$58/12</f>
        <v/>
      </c>
      <c r="I47" s="19">
        <f>'Revenue build'!I46*Assumptions!$F$58/12</f>
        <v/>
      </c>
      <c r="J47" s="19">
        <f>'Revenue build'!J46*Assumptions!$F$58/12</f>
        <v/>
      </c>
      <c r="K47" s="19">
        <f>'Revenue build'!K46*Assumptions!$F$58/12</f>
        <v/>
      </c>
      <c r="L47" s="19">
        <f>'Revenue build'!L46*Assumptions!$F$58/12</f>
        <v/>
      </c>
      <c r="M47" s="19">
        <f>'Revenue build'!M46*Assumptions!$F$58/12</f>
        <v/>
      </c>
      <c r="N47" s="19">
        <f>'Revenue build'!N46*Assumptions!$F$58/12</f>
        <v/>
      </c>
      <c r="O47" s="19">
        <f>'Revenue build'!O46*Assumptions!$F$58/12</f>
        <v/>
      </c>
      <c r="P47" s="19">
        <f>'Revenue build'!P46*Assumptions!$F$58/12</f>
        <v/>
      </c>
      <c r="Q47" s="19">
        <f>'Revenue build'!Q46*Assumptions!$F$58/12</f>
        <v/>
      </c>
      <c r="R47" s="19">
        <f>'Revenue build'!R46*Assumptions!$F$58/12</f>
        <v/>
      </c>
      <c r="S47" s="19">
        <f>'Revenue build'!S46*Assumptions!$F$58/12</f>
        <v/>
      </c>
      <c r="T47" s="19">
        <f>'Revenue build'!T46*Assumptions!$F$58/12</f>
        <v/>
      </c>
      <c r="U47" s="19">
        <f>'Revenue build'!U46*Assumptions!$F$58/12</f>
        <v/>
      </c>
      <c r="V47" s="19">
        <f>'Revenue build'!V46*Assumptions!$F$58/12</f>
        <v/>
      </c>
      <c r="W47" s="19">
        <f>'Revenue build'!W46*Assumptions!$F$58/12</f>
        <v/>
      </c>
      <c r="X47" s="19">
        <f>'Revenue build'!X46*Assumptions!$F$58/12</f>
        <v/>
      </c>
      <c r="Y47" s="19">
        <f>'Revenue build'!Y46*Assumptions!$F$58/12</f>
        <v/>
      </c>
      <c r="Z47" s="19">
        <f>'Revenue build'!Z46*Assumptions!$F$58/12</f>
        <v/>
      </c>
      <c r="AA47" s="19">
        <f>'Revenue build'!AA46*Assumptions!$F$58/12</f>
        <v/>
      </c>
      <c r="AB47" s="19">
        <f>'Revenue build'!AB46*Assumptions!$F$58/12</f>
        <v/>
      </c>
      <c r="AC47" s="19">
        <f>'Revenue build'!AC46*Assumptions!$F$58/12</f>
        <v/>
      </c>
      <c r="AD47" s="19">
        <f>'Revenue build'!AD46*Assumptions!$F$58/12</f>
        <v/>
      </c>
      <c r="AE47" s="19">
        <f>'Revenue build'!AE46*Assumptions!$F$58/12</f>
        <v/>
      </c>
      <c r="AF47" s="19">
        <f>'Revenue build'!AF46*Assumptions!$F$58/12</f>
        <v/>
      </c>
      <c r="AG47" s="19">
        <f>'Revenue build'!AG46*Assumptions!$F$58/12</f>
        <v/>
      </c>
      <c r="AH47" s="19">
        <f>'Revenue build'!AH46*Assumptions!$F$58/12</f>
        <v/>
      </c>
      <c r="AI47" s="19">
        <f>'Revenue build'!AI46*Assumptions!$F$58/12</f>
        <v/>
      </c>
      <c r="AJ47" s="19">
        <f>'Revenue build'!AJ46*Assumptions!$F$58/12</f>
        <v/>
      </c>
      <c r="AK47" s="19">
        <f>'Revenue build'!AK46*Assumptions!$F$58/12</f>
        <v/>
      </c>
      <c r="AL47" s="19">
        <f>'Revenue build'!AL46*Assumptions!$F$58/12</f>
        <v/>
      </c>
      <c r="AN47" s="19">
        <f>SUMIF($C$5:$AL$5,AN$5,C47:AL47)</f>
        <v/>
      </c>
      <c r="AO47" s="19">
        <f>SUMIF($C$5:$AL$5,AO$5,C47:AL47)</f>
        <v/>
      </c>
      <c r="AP47" s="19">
        <f>SUMIF($C$5:$AL$5,AP$5,C47:AL47)</f>
        <v/>
      </c>
      <c r="AQ47" s="19">
        <f>SUM(C47:AL47)</f>
        <v/>
      </c>
    </row>
    <row r="48">
      <c r="A48" s="7" t="inlineStr">
        <is>
          <t>MATERNALINK REVENUE</t>
        </is>
      </c>
      <c r="B48" s="4" t="inlineStr"/>
      <c r="C48" s="26">
        <f>'Revenue build'!C41+'Revenue build'!C45+'Revenue build'!C47</f>
        <v/>
      </c>
      <c r="D48" s="26">
        <f>'Revenue build'!D41+'Revenue build'!D45+'Revenue build'!D47</f>
        <v/>
      </c>
      <c r="E48" s="26">
        <f>'Revenue build'!E41+'Revenue build'!E45+'Revenue build'!E47</f>
        <v/>
      </c>
      <c r="F48" s="26">
        <f>'Revenue build'!F41+'Revenue build'!F45+'Revenue build'!F47</f>
        <v/>
      </c>
      <c r="G48" s="26">
        <f>'Revenue build'!G41+'Revenue build'!G45+'Revenue build'!G47</f>
        <v/>
      </c>
      <c r="H48" s="26">
        <f>'Revenue build'!H41+'Revenue build'!H45+'Revenue build'!H47</f>
        <v/>
      </c>
      <c r="I48" s="26">
        <f>'Revenue build'!I41+'Revenue build'!I45+'Revenue build'!I47</f>
        <v/>
      </c>
      <c r="J48" s="26">
        <f>'Revenue build'!J41+'Revenue build'!J45+'Revenue build'!J47</f>
        <v/>
      </c>
      <c r="K48" s="26">
        <f>'Revenue build'!K41+'Revenue build'!K45+'Revenue build'!K47</f>
        <v/>
      </c>
      <c r="L48" s="26">
        <f>'Revenue build'!L41+'Revenue build'!L45+'Revenue build'!L47</f>
        <v/>
      </c>
      <c r="M48" s="26">
        <f>'Revenue build'!M41+'Revenue build'!M45+'Revenue build'!M47</f>
        <v/>
      </c>
      <c r="N48" s="26">
        <f>'Revenue build'!N41+'Revenue build'!N45+'Revenue build'!N47</f>
        <v/>
      </c>
      <c r="O48" s="26">
        <f>'Revenue build'!O41+'Revenue build'!O45+'Revenue build'!O47</f>
        <v/>
      </c>
      <c r="P48" s="26">
        <f>'Revenue build'!P41+'Revenue build'!P45+'Revenue build'!P47</f>
        <v/>
      </c>
      <c r="Q48" s="26">
        <f>'Revenue build'!Q41+'Revenue build'!Q45+'Revenue build'!Q47</f>
        <v/>
      </c>
      <c r="R48" s="26">
        <f>'Revenue build'!R41+'Revenue build'!R45+'Revenue build'!R47</f>
        <v/>
      </c>
      <c r="S48" s="26">
        <f>'Revenue build'!S41+'Revenue build'!S45+'Revenue build'!S47</f>
        <v/>
      </c>
      <c r="T48" s="26">
        <f>'Revenue build'!T41+'Revenue build'!T45+'Revenue build'!T47</f>
        <v/>
      </c>
      <c r="U48" s="26">
        <f>'Revenue build'!U41+'Revenue build'!U45+'Revenue build'!U47</f>
        <v/>
      </c>
      <c r="V48" s="26">
        <f>'Revenue build'!V41+'Revenue build'!V45+'Revenue build'!V47</f>
        <v/>
      </c>
      <c r="W48" s="26">
        <f>'Revenue build'!W41+'Revenue build'!W45+'Revenue build'!W47</f>
        <v/>
      </c>
      <c r="X48" s="26">
        <f>'Revenue build'!X41+'Revenue build'!X45+'Revenue build'!X47</f>
        <v/>
      </c>
      <c r="Y48" s="26">
        <f>'Revenue build'!Y41+'Revenue build'!Y45+'Revenue build'!Y47</f>
        <v/>
      </c>
      <c r="Z48" s="26">
        <f>'Revenue build'!Z41+'Revenue build'!Z45+'Revenue build'!Z47</f>
        <v/>
      </c>
      <c r="AA48" s="26">
        <f>'Revenue build'!AA41+'Revenue build'!AA45+'Revenue build'!AA47</f>
        <v/>
      </c>
      <c r="AB48" s="26">
        <f>'Revenue build'!AB41+'Revenue build'!AB45+'Revenue build'!AB47</f>
        <v/>
      </c>
      <c r="AC48" s="26">
        <f>'Revenue build'!AC41+'Revenue build'!AC45+'Revenue build'!AC47</f>
        <v/>
      </c>
      <c r="AD48" s="26">
        <f>'Revenue build'!AD41+'Revenue build'!AD45+'Revenue build'!AD47</f>
        <v/>
      </c>
      <c r="AE48" s="26">
        <f>'Revenue build'!AE41+'Revenue build'!AE45+'Revenue build'!AE47</f>
        <v/>
      </c>
      <c r="AF48" s="26">
        <f>'Revenue build'!AF41+'Revenue build'!AF45+'Revenue build'!AF47</f>
        <v/>
      </c>
      <c r="AG48" s="26">
        <f>'Revenue build'!AG41+'Revenue build'!AG45+'Revenue build'!AG47</f>
        <v/>
      </c>
      <c r="AH48" s="26">
        <f>'Revenue build'!AH41+'Revenue build'!AH45+'Revenue build'!AH47</f>
        <v/>
      </c>
      <c r="AI48" s="26">
        <f>'Revenue build'!AI41+'Revenue build'!AI45+'Revenue build'!AI47</f>
        <v/>
      </c>
      <c r="AJ48" s="26">
        <f>'Revenue build'!AJ41+'Revenue build'!AJ45+'Revenue build'!AJ47</f>
        <v/>
      </c>
      <c r="AK48" s="26">
        <f>'Revenue build'!AK41+'Revenue build'!AK45+'Revenue build'!AK47</f>
        <v/>
      </c>
      <c r="AL48" s="26">
        <f>'Revenue build'!AL41+'Revenue build'!AL45+'Revenue build'!AL47</f>
        <v/>
      </c>
      <c r="AN48" s="26">
        <f>SUMIF($C$5:$AL$5,AN$5,C48:AL48)</f>
        <v/>
      </c>
      <c r="AO48" s="26">
        <f>SUMIF($C$5:$AL$5,AO$5,C48:AL48)</f>
        <v/>
      </c>
      <c r="AP48" s="26">
        <f>SUMIF($C$5:$AL$5,AP$5,C48:AL48)</f>
        <v/>
      </c>
      <c r="AQ48" s="26">
        <f>SUM(C48:AL48)</f>
        <v/>
      </c>
    </row>
    <row r="50">
      <c r="A50" s="7" t="inlineStr">
        <is>
          <t>TOTAL REVENUE</t>
        </is>
      </c>
      <c r="B50" s="4" t="inlineStr"/>
      <c r="C50" s="26">
        <f>'Revenue build'!C23+'Revenue build'!C27+'Revenue build'!C36+'Revenue build'!C48</f>
        <v/>
      </c>
      <c r="D50" s="26">
        <f>'Revenue build'!D23+'Revenue build'!D27+'Revenue build'!D36+'Revenue build'!D48</f>
        <v/>
      </c>
      <c r="E50" s="26">
        <f>'Revenue build'!E23+'Revenue build'!E27+'Revenue build'!E36+'Revenue build'!E48</f>
        <v/>
      </c>
      <c r="F50" s="26">
        <f>'Revenue build'!F23+'Revenue build'!F27+'Revenue build'!F36+'Revenue build'!F48</f>
        <v/>
      </c>
      <c r="G50" s="26">
        <f>'Revenue build'!G23+'Revenue build'!G27+'Revenue build'!G36+'Revenue build'!G48</f>
        <v/>
      </c>
      <c r="H50" s="26">
        <f>'Revenue build'!H23+'Revenue build'!H27+'Revenue build'!H36+'Revenue build'!H48</f>
        <v/>
      </c>
      <c r="I50" s="26">
        <f>'Revenue build'!I23+'Revenue build'!I27+'Revenue build'!I36+'Revenue build'!I48</f>
        <v/>
      </c>
      <c r="J50" s="26">
        <f>'Revenue build'!J23+'Revenue build'!J27+'Revenue build'!J36+'Revenue build'!J48</f>
        <v/>
      </c>
      <c r="K50" s="26">
        <f>'Revenue build'!K23+'Revenue build'!K27+'Revenue build'!K36+'Revenue build'!K48</f>
        <v/>
      </c>
      <c r="L50" s="26">
        <f>'Revenue build'!L23+'Revenue build'!L27+'Revenue build'!L36+'Revenue build'!L48</f>
        <v/>
      </c>
      <c r="M50" s="26">
        <f>'Revenue build'!M23+'Revenue build'!M27+'Revenue build'!M36+'Revenue build'!M48</f>
        <v/>
      </c>
      <c r="N50" s="26">
        <f>'Revenue build'!N23+'Revenue build'!N27+'Revenue build'!N36+'Revenue build'!N48</f>
        <v/>
      </c>
      <c r="O50" s="26">
        <f>'Revenue build'!O23+'Revenue build'!O27+'Revenue build'!O36+'Revenue build'!O48</f>
        <v/>
      </c>
      <c r="P50" s="26">
        <f>'Revenue build'!P23+'Revenue build'!P27+'Revenue build'!P36+'Revenue build'!P48</f>
        <v/>
      </c>
      <c r="Q50" s="26">
        <f>'Revenue build'!Q23+'Revenue build'!Q27+'Revenue build'!Q36+'Revenue build'!Q48</f>
        <v/>
      </c>
      <c r="R50" s="26">
        <f>'Revenue build'!R23+'Revenue build'!R27+'Revenue build'!R36+'Revenue build'!R48</f>
        <v/>
      </c>
      <c r="S50" s="26">
        <f>'Revenue build'!S23+'Revenue build'!S27+'Revenue build'!S36+'Revenue build'!S48</f>
        <v/>
      </c>
      <c r="T50" s="26">
        <f>'Revenue build'!T23+'Revenue build'!T27+'Revenue build'!T36+'Revenue build'!T48</f>
        <v/>
      </c>
      <c r="U50" s="26">
        <f>'Revenue build'!U23+'Revenue build'!U27+'Revenue build'!U36+'Revenue build'!U48</f>
        <v/>
      </c>
      <c r="V50" s="26">
        <f>'Revenue build'!V23+'Revenue build'!V27+'Revenue build'!V36+'Revenue build'!V48</f>
        <v/>
      </c>
      <c r="W50" s="26">
        <f>'Revenue build'!W23+'Revenue build'!W27+'Revenue build'!W36+'Revenue build'!W48</f>
        <v/>
      </c>
      <c r="X50" s="26">
        <f>'Revenue build'!X23+'Revenue build'!X27+'Revenue build'!X36+'Revenue build'!X48</f>
        <v/>
      </c>
      <c r="Y50" s="26">
        <f>'Revenue build'!Y23+'Revenue build'!Y27+'Revenue build'!Y36+'Revenue build'!Y48</f>
        <v/>
      </c>
      <c r="Z50" s="26">
        <f>'Revenue build'!Z23+'Revenue build'!Z27+'Revenue build'!Z36+'Revenue build'!Z48</f>
        <v/>
      </c>
      <c r="AA50" s="26">
        <f>'Revenue build'!AA23+'Revenue build'!AA27+'Revenue build'!AA36+'Revenue build'!AA48</f>
        <v/>
      </c>
      <c r="AB50" s="26">
        <f>'Revenue build'!AB23+'Revenue build'!AB27+'Revenue build'!AB36+'Revenue build'!AB48</f>
        <v/>
      </c>
      <c r="AC50" s="26">
        <f>'Revenue build'!AC23+'Revenue build'!AC27+'Revenue build'!AC36+'Revenue build'!AC48</f>
        <v/>
      </c>
      <c r="AD50" s="26">
        <f>'Revenue build'!AD23+'Revenue build'!AD27+'Revenue build'!AD36+'Revenue build'!AD48</f>
        <v/>
      </c>
      <c r="AE50" s="26">
        <f>'Revenue build'!AE23+'Revenue build'!AE27+'Revenue build'!AE36+'Revenue build'!AE48</f>
        <v/>
      </c>
      <c r="AF50" s="26">
        <f>'Revenue build'!AF23+'Revenue build'!AF27+'Revenue build'!AF36+'Revenue build'!AF48</f>
        <v/>
      </c>
      <c r="AG50" s="26">
        <f>'Revenue build'!AG23+'Revenue build'!AG27+'Revenue build'!AG36+'Revenue build'!AG48</f>
        <v/>
      </c>
      <c r="AH50" s="26">
        <f>'Revenue build'!AH23+'Revenue build'!AH27+'Revenue build'!AH36+'Revenue build'!AH48</f>
        <v/>
      </c>
      <c r="AI50" s="26">
        <f>'Revenue build'!AI23+'Revenue build'!AI27+'Revenue build'!AI36+'Revenue build'!AI48</f>
        <v/>
      </c>
      <c r="AJ50" s="26">
        <f>'Revenue build'!AJ23+'Revenue build'!AJ27+'Revenue build'!AJ36+'Revenue build'!AJ48</f>
        <v/>
      </c>
      <c r="AK50" s="26">
        <f>'Revenue build'!AK23+'Revenue build'!AK27+'Revenue build'!AK36+'Revenue build'!AK48</f>
        <v/>
      </c>
      <c r="AL50" s="26">
        <f>'Revenue build'!AL23+'Revenue build'!AL27+'Revenue build'!AL36+'Revenue build'!AL48</f>
        <v/>
      </c>
      <c r="AN50" s="26">
        <f>SUMIF($C$5:$AL$5,AN$5,C50:AL50)</f>
        <v/>
      </c>
      <c r="AO50" s="26">
        <f>SUMIF($C$5:$AL$5,AO$5,C50:AL50)</f>
        <v/>
      </c>
      <c r="AP50" s="26">
        <f>SUMIF($C$5:$AL$5,AP$5,C50:AL50)</f>
        <v/>
      </c>
      <c r="AQ50" s="26">
        <f>SUM(C50:AL50)</f>
        <v/>
      </c>
    </row>
    <row r="52">
      <c r="A52" s="4" t="inlineStr">
        <is>
          <t>Note: the £300/woman/year in the Ekiti proposal is UNVALIDATED (FACTS_BASE A5) and is not used anywhere in this model.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Q16"/>
  <sheetViews>
    <sheetView workbookViewId="0">
      <pane xSplit="2" ySplit="6" topLeftCell="C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2" customWidth="1" min="1" max="1"/>
    <col width="14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3" customWidth="1" min="40" max="40"/>
    <col width="13" customWidth="1" min="41" max="41"/>
    <col width="13" customWidth="1" min="42" max="42"/>
    <col width="13" customWidth="1" min="43" max="43"/>
  </cols>
  <sheetData>
    <row r="1">
      <c r="A1" s="38" t="inlineStr">
        <is>
          <t>Cost of sales and gross margin</t>
        </is>
      </c>
    </row>
    <row r="2">
      <c r="A2" s="4">
        <f>"Scenario: "&amp;Assumptions!$D$4&amp;"  —  all figures GBP, scenario values, not actuals"</f>
        <v/>
      </c>
    </row>
    <row r="3">
      <c r="A3" s="20" t="inlineStr">
        <is>
          <t>Month #</t>
        </is>
      </c>
      <c r="B3" s="10" t="n"/>
      <c r="C3" s="20" t="n">
        <v>1</v>
      </c>
      <c r="D3" s="20" t="n">
        <v>2</v>
      </c>
      <c r="E3" s="20" t="n">
        <v>3</v>
      </c>
      <c r="F3" s="20" t="n">
        <v>4</v>
      </c>
      <c r="G3" s="20" t="n">
        <v>5</v>
      </c>
      <c r="H3" s="20" t="n">
        <v>6</v>
      </c>
      <c r="I3" s="20" t="n">
        <v>7</v>
      </c>
      <c r="J3" s="20" t="n">
        <v>8</v>
      </c>
      <c r="K3" s="20" t="n">
        <v>9</v>
      </c>
      <c r="L3" s="20" t="n">
        <v>10</v>
      </c>
      <c r="M3" s="20" t="n">
        <v>11</v>
      </c>
      <c r="N3" s="20" t="n">
        <v>12</v>
      </c>
      <c r="O3" s="20" t="n">
        <v>13</v>
      </c>
      <c r="P3" s="20" t="n">
        <v>14</v>
      </c>
      <c r="Q3" s="20" t="n">
        <v>15</v>
      </c>
      <c r="R3" s="20" t="n">
        <v>16</v>
      </c>
      <c r="S3" s="20" t="n">
        <v>17</v>
      </c>
      <c r="T3" s="20" t="n">
        <v>18</v>
      </c>
      <c r="U3" s="20" t="n">
        <v>19</v>
      </c>
      <c r="V3" s="20" t="n">
        <v>20</v>
      </c>
      <c r="W3" s="20" t="n">
        <v>21</v>
      </c>
      <c r="X3" s="20" t="n">
        <v>22</v>
      </c>
      <c r="Y3" s="20" t="n">
        <v>23</v>
      </c>
      <c r="Z3" s="20" t="n">
        <v>24</v>
      </c>
      <c r="AA3" s="20" t="n">
        <v>25</v>
      </c>
      <c r="AB3" s="20" t="n">
        <v>26</v>
      </c>
      <c r="AC3" s="20" t="n">
        <v>27</v>
      </c>
      <c r="AD3" s="20" t="n">
        <v>28</v>
      </c>
      <c r="AE3" s="20" t="n">
        <v>29</v>
      </c>
      <c r="AF3" s="20" t="n">
        <v>30</v>
      </c>
      <c r="AG3" s="20" t="n">
        <v>31</v>
      </c>
      <c r="AH3" s="20" t="n">
        <v>32</v>
      </c>
      <c r="AI3" s="20" t="n">
        <v>33</v>
      </c>
      <c r="AJ3" s="20" t="n">
        <v>34</v>
      </c>
      <c r="AK3" s="20" t="n">
        <v>35</v>
      </c>
      <c r="AL3" s="20" t="n">
        <v>36</v>
      </c>
      <c r="AM3" s="10" t="n"/>
      <c r="AN3" s="10" t="n"/>
      <c r="AO3" s="10" t="n"/>
      <c r="AP3" s="10" t="n"/>
      <c r="AQ3" s="10" t="n"/>
    </row>
    <row r="4">
      <c r="A4" s="20" t="inlineStr">
        <is>
          <t>Month</t>
        </is>
      </c>
      <c r="B4" s="10" t="n"/>
      <c r="C4" s="21" t="n">
        <v>46388</v>
      </c>
      <c r="D4" s="21" t="n">
        <v>46419</v>
      </c>
      <c r="E4" s="21" t="n">
        <v>46447</v>
      </c>
      <c r="F4" s="21" t="n">
        <v>46478</v>
      </c>
      <c r="G4" s="21" t="n">
        <v>46508</v>
      </c>
      <c r="H4" s="21" t="n">
        <v>46539</v>
      </c>
      <c r="I4" s="21" t="n">
        <v>46569</v>
      </c>
      <c r="J4" s="21" t="n">
        <v>46600</v>
      </c>
      <c r="K4" s="21" t="n">
        <v>46631</v>
      </c>
      <c r="L4" s="21" t="n">
        <v>46661</v>
      </c>
      <c r="M4" s="21" t="n">
        <v>46692</v>
      </c>
      <c r="N4" s="21" t="n">
        <v>46722</v>
      </c>
      <c r="O4" s="21" t="n">
        <v>46753</v>
      </c>
      <c r="P4" s="21" t="n">
        <v>46784</v>
      </c>
      <c r="Q4" s="21" t="n">
        <v>46813</v>
      </c>
      <c r="R4" s="21" t="n">
        <v>46844</v>
      </c>
      <c r="S4" s="21" t="n">
        <v>46874</v>
      </c>
      <c r="T4" s="21" t="n">
        <v>46905</v>
      </c>
      <c r="U4" s="21" t="n">
        <v>46935</v>
      </c>
      <c r="V4" s="21" t="n">
        <v>46966</v>
      </c>
      <c r="W4" s="21" t="n">
        <v>46997</v>
      </c>
      <c r="X4" s="21" t="n">
        <v>47027</v>
      </c>
      <c r="Y4" s="21" t="n">
        <v>47058</v>
      </c>
      <c r="Z4" s="21" t="n">
        <v>47088</v>
      </c>
      <c r="AA4" s="21" t="n">
        <v>47119</v>
      </c>
      <c r="AB4" s="21" t="n">
        <v>47150</v>
      </c>
      <c r="AC4" s="21" t="n">
        <v>47178</v>
      </c>
      <c r="AD4" s="21" t="n">
        <v>47209</v>
      </c>
      <c r="AE4" s="21" t="n">
        <v>47239</v>
      </c>
      <c r="AF4" s="21" t="n">
        <v>47270</v>
      </c>
      <c r="AG4" s="21" t="n">
        <v>47300</v>
      </c>
      <c r="AH4" s="21" t="n">
        <v>47331</v>
      </c>
      <c r="AI4" s="21" t="n">
        <v>47362</v>
      </c>
      <c r="AJ4" s="21" t="n">
        <v>47392</v>
      </c>
      <c r="AK4" s="21" t="n">
        <v>47423</v>
      </c>
      <c r="AL4" s="21" t="n">
        <v>47453</v>
      </c>
      <c r="AM4" s="10" t="n"/>
      <c r="AN4" s="20" t="inlineStr">
        <is>
          <t>FY2027</t>
        </is>
      </c>
      <c r="AO4" s="20" t="inlineStr">
        <is>
          <t>FY2028</t>
        </is>
      </c>
      <c r="AP4" s="20" t="inlineStr">
        <is>
          <t>FY2029</t>
        </is>
      </c>
      <c r="AQ4" s="20" t="inlineStr">
        <is>
          <t>3-year total</t>
        </is>
      </c>
    </row>
    <row r="5">
      <c r="A5" s="20" t="inlineStr">
        <is>
          <t>Year</t>
        </is>
      </c>
      <c r="B5" s="10" t="n"/>
      <c r="C5" s="20" t="n">
        <v>2027</v>
      </c>
      <c r="D5" s="20" t="n">
        <v>2027</v>
      </c>
      <c r="E5" s="20" t="n">
        <v>2027</v>
      </c>
      <c r="F5" s="20" t="n">
        <v>2027</v>
      </c>
      <c r="G5" s="20" t="n">
        <v>2027</v>
      </c>
      <c r="H5" s="20" t="n">
        <v>2027</v>
      </c>
      <c r="I5" s="20" t="n">
        <v>2027</v>
      </c>
      <c r="J5" s="20" t="n">
        <v>2027</v>
      </c>
      <c r="K5" s="20" t="n">
        <v>2027</v>
      </c>
      <c r="L5" s="20" t="n">
        <v>2027</v>
      </c>
      <c r="M5" s="20" t="n">
        <v>2027</v>
      </c>
      <c r="N5" s="20" t="n">
        <v>2027</v>
      </c>
      <c r="O5" s="20" t="n">
        <v>2028</v>
      </c>
      <c r="P5" s="20" t="n">
        <v>2028</v>
      </c>
      <c r="Q5" s="20" t="n">
        <v>2028</v>
      </c>
      <c r="R5" s="20" t="n">
        <v>2028</v>
      </c>
      <c r="S5" s="20" t="n">
        <v>2028</v>
      </c>
      <c r="T5" s="20" t="n">
        <v>2028</v>
      </c>
      <c r="U5" s="20" t="n">
        <v>2028</v>
      </c>
      <c r="V5" s="20" t="n">
        <v>2028</v>
      </c>
      <c r="W5" s="20" t="n">
        <v>2028</v>
      </c>
      <c r="X5" s="20" t="n">
        <v>2028</v>
      </c>
      <c r="Y5" s="20" t="n">
        <v>2028</v>
      </c>
      <c r="Z5" s="20" t="n">
        <v>2028</v>
      </c>
      <c r="AA5" s="20" t="n">
        <v>2029</v>
      </c>
      <c r="AB5" s="20" t="n">
        <v>2029</v>
      </c>
      <c r="AC5" s="20" t="n">
        <v>2029</v>
      </c>
      <c r="AD5" s="20" t="n">
        <v>2029</v>
      </c>
      <c r="AE5" s="20" t="n">
        <v>2029</v>
      </c>
      <c r="AF5" s="20" t="n">
        <v>2029</v>
      </c>
      <c r="AG5" s="20" t="n">
        <v>2029</v>
      </c>
      <c r="AH5" s="20" t="n">
        <v>2029</v>
      </c>
      <c r="AI5" s="20" t="n">
        <v>2029</v>
      </c>
      <c r="AJ5" s="20" t="n">
        <v>2029</v>
      </c>
      <c r="AK5" s="20" t="n">
        <v>2029</v>
      </c>
      <c r="AL5" s="20" t="n">
        <v>2029</v>
      </c>
      <c r="AM5" s="10" t="n"/>
      <c r="AN5" s="20" t="n">
        <v>2027</v>
      </c>
      <c r="AO5" s="20" t="n">
        <v>2028</v>
      </c>
      <c r="AP5" s="20" t="n">
        <v>2029</v>
      </c>
      <c r="AQ5" s="10" t="n"/>
    </row>
    <row r="6">
      <c r="A6" s="7" t="inlineStr">
        <is>
          <t>Year index</t>
        </is>
      </c>
      <c r="C6">
        <f>C5-2026</f>
        <v/>
      </c>
      <c r="D6">
        <f>D5-2026</f>
        <v/>
      </c>
      <c r="E6">
        <f>E5-2026</f>
        <v/>
      </c>
      <c r="F6">
        <f>F5-2026</f>
        <v/>
      </c>
      <c r="G6">
        <f>G5-2026</f>
        <v/>
      </c>
      <c r="H6">
        <f>H5-2026</f>
        <v/>
      </c>
      <c r="I6">
        <f>I5-2026</f>
        <v/>
      </c>
      <c r="J6">
        <f>J5-2026</f>
        <v/>
      </c>
      <c r="K6">
        <f>K5-2026</f>
        <v/>
      </c>
      <c r="L6">
        <f>L5-2026</f>
        <v/>
      </c>
      <c r="M6">
        <f>M5-2026</f>
        <v/>
      </c>
      <c r="N6">
        <f>N5-2026</f>
        <v/>
      </c>
      <c r="O6">
        <f>O5-2026</f>
        <v/>
      </c>
      <c r="P6">
        <f>P5-2026</f>
        <v/>
      </c>
      <c r="Q6">
        <f>Q5-2026</f>
        <v/>
      </c>
      <c r="R6">
        <f>R5-2026</f>
        <v/>
      </c>
      <c r="S6">
        <f>S5-2026</f>
        <v/>
      </c>
      <c r="T6">
        <f>T5-2026</f>
        <v/>
      </c>
      <c r="U6">
        <f>U5-2026</f>
        <v/>
      </c>
      <c r="V6">
        <f>V5-2026</f>
        <v/>
      </c>
      <c r="W6">
        <f>W5-2026</f>
        <v/>
      </c>
      <c r="X6">
        <f>X5-2026</f>
        <v/>
      </c>
      <c r="Y6">
        <f>Y5-2026</f>
        <v/>
      </c>
      <c r="Z6">
        <f>Z5-2026</f>
        <v/>
      </c>
      <c r="AA6">
        <f>AA5-2026</f>
        <v/>
      </c>
      <c r="AB6">
        <f>AB5-2026</f>
        <v/>
      </c>
      <c r="AC6">
        <f>AC5-2026</f>
        <v/>
      </c>
      <c r="AD6">
        <f>AD5-2026</f>
        <v/>
      </c>
      <c r="AE6">
        <f>AE5-2026</f>
        <v/>
      </c>
      <c r="AF6">
        <f>AF5-2026</f>
        <v/>
      </c>
      <c r="AG6">
        <f>AG5-2026</f>
        <v/>
      </c>
      <c r="AH6">
        <f>AH5-2026</f>
        <v/>
      </c>
      <c r="AI6">
        <f>AI5-2026</f>
        <v/>
      </c>
      <c r="AJ6">
        <f>AJ5-2026</f>
        <v/>
      </c>
      <c r="AK6">
        <f>AK5-2026</f>
        <v/>
      </c>
      <c r="AL6">
        <f>AL5-2026</f>
        <v/>
      </c>
    </row>
    <row r="7">
      <c r="A7" s="22" t="inlineStr">
        <is>
          <t>Advisory direct costs (travel/tools per billable day)</t>
        </is>
      </c>
      <c r="B7" s="4" t="inlineStr"/>
      <c r="C7" s="19">
        <f>('Revenue build'!C16+'Revenue build'!C13)*Assumptions!$F$22</f>
        <v/>
      </c>
      <c r="D7" s="19">
        <f>('Revenue build'!D16+'Revenue build'!D13)*Assumptions!$F$22</f>
        <v/>
      </c>
      <c r="E7" s="19">
        <f>('Revenue build'!E16+'Revenue build'!E13)*Assumptions!$F$22</f>
        <v/>
      </c>
      <c r="F7" s="19">
        <f>('Revenue build'!F16+'Revenue build'!F13)*Assumptions!$F$22</f>
        <v/>
      </c>
      <c r="G7" s="19">
        <f>('Revenue build'!G16+'Revenue build'!G13)*Assumptions!$F$22</f>
        <v/>
      </c>
      <c r="H7" s="19">
        <f>('Revenue build'!H16+'Revenue build'!H13)*Assumptions!$F$22</f>
        <v/>
      </c>
      <c r="I7" s="19">
        <f>('Revenue build'!I16+'Revenue build'!I13)*Assumptions!$F$22</f>
        <v/>
      </c>
      <c r="J7" s="19">
        <f>('Revenue build'!J16+'Revenue build'!J13)*Assumptions!$F$22</f>
        <v/>
      </c>
      <c r="K7" s="19">
        <f>('Revenue build'!K16+'Revenue build'!K13)*Assumptions!$F$22</f>
        <v/>
      </c>
      <c r="L7" s="19">
        <f>('Revenue build'!L16+'Revenue build'!L13)*Assumptions!$F$22</f>
        <v/>
      </c>
      <c r="M7" s="19">
        <f>('Revenue build'!M16+'Revenue build'!M13)*Assumptions!$F$22</f>
        <v/>
      </c>
      <c r="N7" s="19">
        <f>('Revenue build'!N16+'Revenue build'!N13)*Assumptions!$F$22</f>
        <v/>
      </c>
      <c r="O7" s="19">
        <f>('Revenue build'!O16+'Revenue build'!O13)*Assumptions!$F$22</f>
        <v/>
      </c>
      <c r="P7" s="19">
        <f>('Revenue build'!P16+'Revenue build'!P13)*Assumptions!$F$22</f>
        <v/>
      </c>
      <c r="Q7" s="19">
        <f>('Revenue build'!Q16+'Revenue build'!Q13)*Assumptions!$F$22</f>
        <v/>
      </c>
      <c r="R7" s="19">
        <f>('Revenue build'!R16+'Revenue build'!R13)*Assumptions!$F$22</f>
        <v/>
      </c>
      <c r="S7" s="19">
        <f>('Revenue build'!S16+'Revenue build'!S13)*Assumptions!$F$22</f>
        <v/>
      </c>
      <c r="T7" s="19">
        <f>('Revenue build'!T16+'Revenue build'!T13)*Assumptions!$F$22</f>
        <v/>
      </c>
      <c r="U7" s="19">
        <f>('Revenue build'!U16+'Revenue build'!U13)*Assumptions!$F$22</f>
        <v/>
      </c>
      <c r="V7" s="19">
        <f>('Revenue build'!V16+'Revenue build'!V13)*Assumptions!$F$22</f>
        <v/>
      </c>
      <c r="W7" s="19">
        <f>('Revenue build'!W16+'Revenue build'!W13)*Assumptions!$F$22</f>
        <v/>
      </c>
      <c r="X7" s="19">
        <f>('Revenue build'!X16+'Revenue build'!X13)*Assumptions!$F$22</f>
        <v/>
      </c>
      <c r="Y7" s="19">
        <f>('Revenue build'!Y16+'Revenue build'!Y13)*Assumptions!$F$22</f>
        <v/>
      </c>
      <c r="Z7" s="19">
        <f>('Revenue build'!Z16+'Revenue build'!Z13)*Assumptions!$F$22</f>
        <v/>
      </c>
      <c r="AA7" s="19">
        <f>('Revenue build'!AA16+'Revenue build'!AA13)*Assumptions!$F$22</f>
        <v/>
      </c>
      <c r="AB7" s="19">
        <f>('Revenue build'!AB16+'Revenue build'!AB13)*Assumptions!$F$22</f>
        <v/>
      </c>
      <c r="AC7" s="19">
        <f>('Revenue build'!AC16+'Revenue build'!AC13)*Assumptions!$F$22</f>
        <v/>
      </c>
      <c r="AD7" s="19">
        <f>('Revenue build'!AD16+'Revenue build'!AD13)*Assumptions!$F$22</f>
        <v/>
      </c>
      <c r="AE7" s="19">
        <f>('Revenue build'!AE16+'Revenue build'!AE13)*Assumptions!$F$22</f>
        <v/>
      </c>
      <c r="AF7" s="19">
        <f>('Revenue build'!AF16+'Revenue build'!AF13)*Assumptions!$F$22</f>
        <v/>
      </c>
      <c r="AG7" s="19">
        <f>('Revenue build'!AG16+'Revenue build'!AG13)*Assumptions!$F$22</f>
        <v/>
      </c>
      <c r="AH7" s="19">
        <f>('Revenue build'!AH16+'Revenue build'!AH13)*Assumptions!$F$22</f>
        <v/>
      </c>
      <c r="AI7" s="19">
        <f>('Revenue build'!AI16+'Revenue build'!AI13)*Assumptions!$F$22</f>
        <v/>
      </c>
      <c r="AJ7" s="19">
        <f>('Revenue build'!AJ16+'Revenue build'!AJ13)*Assumptions!$F$22</f>
        <v/>
      </c>
      <c r="AK7" s="19">
        <f>('Revenue build'!AK16+'Revenue build'!AK13)*Assumptions!$F$22</f>
        <v/>
      </c>
      <c r="AL7" s="19">
        <f>('Revenue build'!AL16+'Revenue build'!AL13)*Assumptions!$F$22</f>
        <v/>
      </c>
      <c r="AN7" s="19">
        <f>SUMIF($C$5:$AL$5,AN$5,C7:AL7)</f>
        <v/>
      </c>
      <c r="AO7" s="19">
        <f>SUMIF($C$5:$AL$5,AO$5,C7:AL7)</f>
        <v/>
      </c>
      <c r="AP7" s="19">
        <f>SUMIF($C$5:$AL$5,AP$5,C7:AL7)</f>
        <v/>
      </c>
      <c r="AQ7" s="19">
        <f>SUM(C7:AL7)</f>
        <v/>
      </c>
    </row>
    <row r="8">
      <c r="A8" s="22" t="inlineStr">
        <is>
          <t>Consulting delivery (associates, expenses)</t>
        </is>
      </c>
      <c r="B8" s="4" t="inlineStr"/>
      <c r="C8" s="19">
        <f>'Revenue build'!C27*Assumptions!$F$31</f>
        <v/>
      </c>
      <c r="D8" s="19">
        <f>'Revenue build'!D27*Assumptions!$F$31</f>
        <v/>
      </c>
      <c r="E8" s="19">
        <f>'Revenue build'!E27*Assumptions!$F$31</f>
        <v/>
      </c>
      <c r="F8" s="19">
        <f>'Revenue build'!F27*Assumptions!$F$31</f>
        <v/>
      </c>
      <c r="G8" s="19">
        <f>'Revenue build'!G27*Assumptions!$F$31</f>
        <v/>
      </c>
      <c r="H8" s="19">
        <f>'Revenue build'!H27*Assumptions!$F$31</f>
        <v/>
      </c>
      <c r="I8" s="19">
        <f>'Revenue build'!I27*Assumptions!$F$31</f>
        <v/>
      </c>
      <c r="J8" s="19">
        <f>'Revenue build'!J27*Assumptions!$F$31</f>
        <v/>
      </c>
      <c r="K8" s="19">
        <f>'Revenue build'!K27*Assumptions!$F$31</f>
        <v/>
      </c>
      <c r="L8" s="19">
        <f>'Revenue build'!L27*Assumptions!$F$31</f>
        <v/>
      </c>
      <c r="M8" s="19">
        <f>'Revenue build'!M27*Assumptions!$F$31</f>
        <v/>
      </c>
      <c r="N8" s="19">
        <f>'Revenue build'!N27*Assumptions!$F$31</f>
        <v/>
      </c>
      <c r="O8" s="19">
        <f>'Revenue build'!O27*Assumptions!$F$31</f>
        <v/>
      </c>
      <c r="P8" s="19">
        <f>'Revenue build'!P27*Assumptions!$F$31</f>
        <v/>
      </c>
      <c r="Q8" s="19">
        <f>'Revenue build'!Q27*Assumptions!$F$31</f>
        <v/>
      </c>
      <c r="R8" s="19">
        <f>'Revenue build'!R27*Assumptions!$F$31</f>
        <v/>
      </c>
      <c r="S8" s="19">
        <f>'Revenue build'!S27*Assumptions!$F$31</f>
        <v/>
      </c>
      <c r="T8" s="19">
        <f>'Revenue build'!T27*Assumptions!$F$31</f>
        <v/>
      </c>
      <c r="U8" s="19">
        <f>'Revenue build'!U27*Assumptions!$F$31</f>
        <v/>
      </c>
      <c r="V8" s="19">
        <f>'Revenue build'!V27*Assumptions!$F$31</f>
        <v/>
      </c>
      <c r="W8" s="19">
        <f>'Revenue build'!W27*Assumptions!$F$31</f>
        <v/>
      </c>
      <c r="X8" s="19">
        <f>'Revenue build'!X27*Assumptions!$F$31</f>
        <v/>
      </c>
      <c r="Y8" s="19">
        <f>'Revenue build'!Y27*Assumptions!$F$31</f>
        <v/>
      </c>
      <c r="Z8" s="19">
        <f>'Revenue build'!Z27*Assumptions!$F$31</f>
        <v/>
      </c>
      <c r="AA8" s="19">
        <f>'Revenue build'!AA27*Assumptions!$F$31</f>
        <v/>
      </c>
      <c r="AB8" s="19">
        <f>'Revenue build'!AB27*Assumptions!$F$31</f>
        <v/>
      </c>
      <c r="AC8" s="19">
        <f>'Revenue build'!AC27*Assumptions!$F$31</f>
        <v/>
      </c>
      <c r="AD8" s="19">
        <f>'Revenue build'!AD27*Assumptions!$F$31</f>
        <v/>
      </c>
      <c r="AE8" s="19">
        <f>'Revenue build'!AE27*Assumptions!$F$31</f>
        <v/>
      </c>
      <c r="AF8" s="19">
        <f>'Revenue build'!AF27*Assumptions!$F$31</f>
        <v/>
      </c>
      <c r="AG8" s="19">
        <f>'Revenue build'!AG27*Assumptions!$F$31</f>
        <v/>
      </c>
      <c r="AH8" s="19">
        <f>'Revenue build'!AH27*Assumptions!$F$31</f>
        <v/>
      </c>
      <c r="AI8" s="19">
        <f>'Revenue build'!AI27*Assumptions!$F$31</f>
        <v/>
      </c>
      <c r="AJ8" s="19">
        <f>'Revenue build'!AJ27*Assumptions!$F$31</f>
        <v/>
      </c>
      <c r="AK8" s="19">
        <f>'Revenue build'!AK27*Assumptions!$F$31</f>
        <v/>
      </c>
      <c r="AL8" s="19">
        <f>'Revenue build'!AL27*Assumptions!$F$31</f>
        <v/>
      </c>
      <c r="AN8" s="19">
        <f>SUMIF($C$5:$AL$5,AN$5,C8:AL8)</f>
        <v/>
      </c>
      <c r="AO8" s="19">
        <f>SUMIF($C$5:$AL$5,AO$5,C8:AL8)</f>
        <v/>
      </c>
      <c r="AP8" s="19">
        <f>SUMIF($C$5:$AL$5,AP$5,C8:AL8)</f>
        <v/>
      </c>
      <c r="AQ8" s="19">
        <f>SUM(C8:AL8)</f>
        <v/>
      </c>
    </row>
    <row r="9">
      <c r="A9" s="22" t="inlineStr">
        <is>
          <t>E-learning platform and payment fees</t>
        </is>
      </c>
      <c r="B9" s="4" t="inlineStr"/>
      <c r="C9" s="19">
        <f>'Revenue build'!C36*Assumptions!$F$41</f>
        <v/>
      </c>
      <c r="D9" s="19">
        <f>'Revenue build'!D36*Assumptions!$F$41</f>
        <v/>
      </c>
      <c r="E9" s="19">
        <f>'Revenue build'!E36*Assumptions!$F$41</f>
        <v/>
      </c>
      <c r="F9" s="19">
        <f>'Revenue build'!F36*Assumptions!$F$41</f>
        <v/>
      </c>
      <c r="G9" s="19">
        <f>'Revenue build'!G36*Assumptions!$F$41</f>
        <v/>
      </c>
      <c r="H9" s="19">
        <f>'Revenue build'!H36*Assumptions!$F$41</f>
        <v/>
      </c>
      <c r="I9" s="19">
        <f>'Revenue build'!I36*Assumptions!$F$41</f>
        <v/>
      </c>
      <c r="J9" s="19">
        <f>'Revenue build'!J36*Assumptions!$F$41</f>
        <v/>
      </c>
      <c r="K9" s="19">
        <f>'Revenue build'!K36*Assumptions!$F$41</f>
        <v/>
      </c>
      <c r="L9" s="19">
        <f>'Revenue build'!L36*Assumptions!$F$41</f>
        <v/>
      </c>
      <c r="M9" s="19">
        <f>'Revenue build'!M36*Assumptions!$F$41</f>
        <v/>
      </c>
      <c r="N9" s="19">
        <f>'Revenue build'!N36*Assumptions!$F$41</f>
        <v/>
      </c>
      <c r="O9" s="19">
        <f>'Revenue build'!O36*Assumptions!$F$41</f>
        <v/>
      </c>
      <c r="P9" s="19">
        <f>'Revenue build'!P36*Assumptions!$F$41</f>
        <v/>
      </c>
      <c r="Q9" s="19">
        <f>'Revenue build'!Q36*Assumptions!$F$41</f>
        <v/>
      </c>
      <c r="R9" s="19">
        <f>'Revenue build'!R36*Assumptions!$F$41</f>
        <v/>
      </c>
      <c r="S9" s="19">
        <f>'Revenue build'!S36*Assumptions!$F$41</f>
        <v/>
      </c>
      <c r="T9" s="19">
        <f>'Revenue build'!T36*Assumptions!$F$41</f>
        <v/>
      </c>
      <c r="U9" s="19">
        <f>'Revenue build'!U36*Assumptions!$F$41</f>
        <v/>
      </c>
      <c r="V9" s="19">
        <f>'Revenue build'!V36*Assumptions!$F$41</f>
        <v/>
      </c>
      <c r="W9" s="19">
        <f>'Revenue build'!W36*Assumptions!$F$41</f>
        <v/>
      </c>
      <c r="X9" s="19">
        <f>'Revenue build'!X36*Assumptions!$F$41</f>
        <v/>
      </c>
      <c r="Y9" s="19">
        <f>'Revenue build'!Y36*Assumptions!$F$41</f>
        <v/>
      </c>
      <c r="Z9" s="19">
        <f>'Revenue build'!Z36*Assumptions!$F$41</f>
        <v/>
      </c>
      <c r="AA9" s="19">
        <f>'Revenue build'!AA36*Assumptions!$F$41</f>
        <v/>
      </c>
      <c r="AB9" s="19">
        <f>'Revenue build'!AB36*Assumptions!$F$41</f>
        <v/>
      </c>
      <c r="AC9" s="19">
        <f>'Revenue build'!AC36*Assumptions!$F$41</f>
        <v/>
      </c>
      <c r="AD9" s="19">
        <f>'Revenue build'!AD36*Assumptions!$F$41</f>
        <v/>
      </c>
      <c r="AE9" s="19">
        <f>'Revenue build'!AE36*Assumptions!$F$41</f>
        <v/>
      </c>
      <c r="AF9" s="19">
        <f>'Revenue build'!AF36*Assumptions!$F$41</f>
        <v/>
      </c>
      <c r="AG9" s="19">
        <f>'Revenue build'!AG36*Assumptions!$F$41</f>
        <v/>
      </c>
      <c r="AH9" s="19">
        <f>'Revenue build'!AH36*Assumptions!$F$41</f>
        <v/>
      </c>
      <c r="AI9" s="19">
        <f>'Revenue build'!AI36*Assumptions!$F$41</f>
        <v/>
      </c>
      <c r="AJ9" s="19">
        <f>'Revenue build'!AJ36*Assumptions!$F$41</f>
        <v/>
      </c>
      <c r="AK9" s="19">
        <f>'Revenue build'!AK36*Assumptions!$F$41</f>
        <v/>
      </c>
      <c r="AL9" s="19">
        <f>'Revenue build'!AL36*Assumptions!$F$41</f>
        <v/>
      </c>
      <c r="AN9" s="19">
        <f>SUMIF($C$5:$AL$5,AN$5,C9:AL9)</f>
        <v/>
      </c>
      <c r="AO9" s="19">
        <f>SUMIF($C$5:$AL$5,AO$5,C9:AL9)</f>
        <v/>
      </c>
      <c r="AP9" s="19">
        <f>SUMIF($C$5:$AL$5,AP$5,C9:AL9)</f>
        <v/>
      </c>
      <c r="AQ9" s="19">
        <f>SUM(C9:AL9)</f>
        <v/>
      </c>
    </row>
    <row r="10">
      <c r="A10" s="22" t="inlineStr">
        <is>
          <t>MaternaLink pilot delivery</t>
        </is>
      </c>
      <c r="B10" s="4" t="inlineStr"/>
      <c r="C10" s="19">
        <f>'Revenue build'!C41*Assumptions!$F$49</f>
        <v/>
      </c>
      <c r="D10" s="19">
        <f>'Revenue build'!D41*Assumptions!$F$49</f>
        <v/>
      </c>
      <c r="E10" s="19">
        <f>'Revenue build'!E41*Assumptions!$F$49</f>
        <v/>
      </c>
      <c r="F10" s="19">
        <f>'Revenue build'!F41*Assumptions!$F$49</f>
        <v/>
      </c>
      <c r="G10" s="19">
        <f>'Revenue build'!G41*Assumptions!$F$49</f>
        <v/>
      </c>
      <c r="H10" s="19">
        <f>'Revenue build'!H41*Assumptions!$F$49</f>
        <v/>
      </c>
      <c r="I10" s="19">
        <f>'Revenue build'!I41*Assumptions!$F$49</f>
        <v/>
      </c>
      <c r="J10" s="19">
        <f>'Revenue build'!J41*Assumptions!$F$49</f>
        <v/>
      </c>
      <c r="K10" s="19">
        <f>'Revenue build'!K41*Assumptions!$F$49</f>
        <v/>
      </c>
      <c r="L10" s="19">
        <f>'Revenue build'!L41*Assumptions!$F$49</f>
        <v/>
      </c>
      <c r="M10" s="19">
        <f>'Revenue build'!M41*Assumptions!$F$49</f>
        <v/>
      </c>
      <c r="N10" s="19">
        <f>'Revenue build'!N41*Assumptions!$F$49</f>
        <v/>
      </c>
      <c r="O10" s="19">
        <f>'Revenue build'!O41*Assumptions!$F$49</f>
        <v/>
      </c>
      <c r="P10" s="19">
        <f>'Revenue build'!P41*Assumptions!$F$49</f>
        <v/>
      </c>
      <c r="Q10" s="19">
        <f>'Revenue build'!Q41*Assumptions!$F$49</f>
        <v/>
      </c>
      <c r="R10" s="19">
        <f>'Revenue build'!R41*Assumptions!$F$49</f>
        <v/>
      </c>
      <c r="S10" s="19">
        <f>'Revenue build'!S41*Assumptions!$F$49</f>
        <v/>
      </c>
      <c r="T10" s="19">
        <f>'Revenue build'!T41*Assumptions!$F$49</f>
        <v/>
      </c>
      <c r="U10" s="19">
        <f>'Revenue build'!U41*Assumptions!$F$49</f>
        <v/>
      </c>
      <c r="V10" s="19">
        <f>'Revenue build'!V41*Assumptions!$F$49</f>
        <v/>
      </c>
      <c r="W10" s="19">
        <f>'Revenue build'!W41*Assumptions!$F$49</f>
        <v/>
      </c>
      <c r="X10" s="19">
        <f>'Revenue build'!X41*Assumptions!$F$49</f>
        <v/>
      </c>
      <c r="Y10" s="19">
        <f>'Revenue build'!Y41*Assumptions!$F$49</f>
        <v/>
      </c>
      <c r="Z10" s="19">
        <f>'Revenue build'!Z41*Assumptions!$F$49</f>
        <v/>
      </c>
      <c r="AA10" s="19">
        <f>'Revenue build'!AA41*Assumptions!$F$49</f>
        <v/>
      </c>
      <c r="AB10" s="19">
        <f>'Revenue build'!AB41*Assumptions!$F$49</f>
        <v/>
      </c>
      <c r="AC10" s="19">
        <f>'Revenue build'!AC41*Assumptions!$F$49</f>
        <v/>
      </c>
      <c r="AD10" s="19">
        <f>'Revenue build'!AD41*Assumptions!$F$49</f>
        <v/>
      </c>
      <c r="AE10" s="19">
        <f>'Revenue build'!AE41*Assumptions!$F$49</f>
        <v/>
      </c>
      <c r="AF10" s="19">
        <f>'Revenue build'!AF41*Assumptions!$F$49</f>
        <v/>
      </c>
      <c r="AG10" s="19">
        <f>'Revenue build'!AG41*Assumptions!$F$49</f>
        <v/>
      </c>
      <c r="AH10" s="19">
        <f>'Revenue build'!AH41*Assumptions!$F$49</f>
        <v/>
      </c>
      <c r="AI10" s="19">
        <f>'Revenue build'!AI41*Assumptions!$F$49</f>
        <v/>
      </c>
      <c r="AJ10" s="19">
        <f>'Revenue build'!AJ41*Assumptions!$F$49</f>
        <v/>
      </c>
      <c r="AK10" s="19">
        <f>'Revenue build'!AK41*Assumptions!$F$49</f>
        <v/>
      </c>
      <c r="AL10" s="19">
        <f>'Revenue build'!AL41*Assumptions!$F$49</f>
        <v/>
      </c>
      <c r="AN10" s="19">
        <f>SUMIF($C$5:$AL$5,AN$5,C10:AL10)</f>
        <v/>
      </c>
      <c r="AO10" s="19">
        <f>SUMIF($C$5:$AL$5,AO$5,C10:AL10)</f>
        <v/>
      </c>
      <c r="AP10" s="19">
        <f>SUMIF($C$5:$AL$5,AP$5,C10:AL10)</f>
        <v/>
      </c>
      <c r="AQ10" s="19">
        <f>SUM(C10:AL10)</f>
        <v/>
      </c>
    </row>
    <row r="11">
      <c r="A11" s="22" t="inlineStr">
        <is>
          <t>MaternaLink licence hosting/support</t>
        </is>
      </c>
      <c r="B11" s="4" t="inlineStr"/>
      <c r="C11" s="19">
        <f>('Revenue build'!C44*Assumptions!$F$55+'Revenue build'!C46*Assumptions!$F$59)/12</f>
        <v/>
      </c>
      <c r="D11" s="19">
        <f>('Revenue build'!D44*Assumptions!$F$55+'Revenue build'!D46*Assumptions!$F$59)/12</f>
        <v/>
      </c>
      <c r="E11" s="19">
        <f>('Revenue build'!E44*Assumptions!$F$55+'Revenue build'!E46*Assumptions!$F$59)/12</f>
        <v/>
      </c>
      <c r="F11" s="19">
        <f>('Revenue build'!F44*Assumptions!$F$55+'Revenue build'!F46*Assumptions!$F$59)/12</f>
        <v/>
      </c>
      <c r="G11" s="19">
        <f>('Revenue build'!G44*Assumptions!$F$55+'Revenue build'!G46*Assumptions!$F$59)/12</f>
        <v/>
      </c>
      <c r="H11" s="19">
        <f>('Revenue build'!H44*Assumptions!$F$55+'Revenue build'!H46*Assumptions!$F$59)/12</f>
        <v/>
      </c>
      <c r="I11" s="19">
        <f>('Revenue build'!I44*Assumptions!$F$55+'Revenue build'!I46*Assumptions!$F$59)/12</f>
        <v/>
      </c>
      <c r="J11" s="19">
        <f>('Revenue build'!J44*Assumptions!$F$55+'Revenue build'!J46*Assumptions!$F$59)/12</f>
        <v/>
      </c>
      <c r="K11" s="19">
        <f>('Revenue build'!K44*Assumptions!$F$55+'Revenue build'!K46*Assumptions!$F$59)/12</f>
        <v/>
      </c>
      <c r="L11" s="19">
        <f>('Revenue build'!L44*Assumptions!$F$55+'Revenue build'!L46*Assumptions!$F$59)/12</f>
        <v/>
      </c>
      <c r="M11" s="19">
        <f>('Revenue build'!M44*Assumptions!$F$55+'Revenue build'!M46*Assumptions!$F$59)/12</f>
        <v/>
      </c>
      <c r="N11" s="19">
        <f>('Revenue build'!N44*Assumptions!$F$55+'Revenue build'!N46*Assumptions!$F$59)/12</f>
        <v/>
      </c>
      <c r="O11" s="19">
        <f>('Revenue build'!O44*Assumptions!$F$55+'Revenue build'!O46*Assumptions!$F$59)/12</f>
        <v/>
      </c>
      <c r="P11" s="19">
        <f>('Revenue build'!P44*Assumptions!$F$55+'Revenue build'!P46*Assumptions!$F$59)/12</f>
        <v/>
      </c>
      <c r="Q11" s="19">
        <f>('Revenue build'!Q44*Assumptions!$F$55+'Revenue build'!Q46*Assumptions!$F$59)/12</f>
        <v/>
      </c>
      <c r="R11" s="19">
        <f>('Revenue build'!R44*Assumptions!$F$55+'Revenue build'!R46*Assumptions!$F$59)/12</f>
        <v/>
      </c>
      <c r="S11" s="19">
        <f>('Revenue build'!S44*Assumptions!$F$55+'Revenue build'!S46*Assumptions!$F$59)/12</f>
        <v/>
      </c>
      <c r="T11" s="19">
        <f>('Revenue build'!T44*Assumptions!$F$55+'Revenue build'!T46*Assumptions!$F$59)/12</f>
        <v/>
      </c>
      <c r="U11" s="19">
        <f>('Revenue build'!U44*Assumptions!$F$55+'Revenue build'!U46*Assumptions!$F$59)/12</f>
        <v/>
      </c>
      <c r="V11" s="19">
        <f>('Revenue build'!V44*Assumptions!$F$55+'Revenue build'!V46*Assumptions!$F$59)/12</f>
        <v/>
      </c>
      <c r="W11" s="19">
        <f>('Revenue build'!W44*Assumptions!$F$55+'Revenue build'!W46*Assumptions!$F$59)/12</f>
        <v/>
      </c>
      <c r="X11" s="19">
        <f>('Revenue build'!X44*Assumptions!$F$55+'Revenue build'!X46*Assumptions!$F$59)/12</f>
        <v/>
      </c>
      <c r="Y11" s="19">
        <f>('Revenue build'!Y44*Assumptions!$F$55+'Revenue build'!Y46*Assumptions!$F$59)/12</f>
        <v/>
      </c>
      <c r="Z11" s="19">
        <f>('Revenue build'!Z44*Assumptions!$F$55+'Revenue build'!Z46*Assumptions!$F$59)/12</f>
        <v/>
      </c>
      <c r="AA11" s="19">
        <f>('Revenue build'!AA44*Assumptions!$F$55+'Revenue build'!AA46*Assumptions!$F$59)/12</f>
        <v/>
      </c>
      <c r="AB11" s="19">
        <f>('Revenue build'!AB44*Assumptions!$F$55+'Revenue build'!AB46*Assumptions!$F$59)/12</f>
        <v/>
      </c>
      <c r="AC11" s="19">
        <f>('Revenue build'!AC44*Assumptions!$F$55+'Revenue build'!AC46*Assumptions!$F$59)/12</f>
        <v/>
      </c>
      <c r="AD11" s="19">
        <f>('Revenue build'!AD44*Assumptions!$F$55+'Revenue build'!AD46*Assumptions!$F$59)/12</f>
        <v/>
      </c>
      <c r="AE11" s="19">
        <f>('Revenue build'!AE44*Assumptions!$F$55+'Revenue build'!AE46*Assumptions!$F$59)/12</f>
        <v/>
      </c>
      <c r="AF11" s="19">
        <f>('Revenue build'!AF44*Assumptions!$F$55+'Revenue build'!AF46*Assumptions!$F$59)/12</f>
        <v/>
      </c>
      <c r="AG11" s="19">
        <f>('Revenue build'!AG44*Assumptions!$F$55+'Revenue build'!AG46*Assumptions!$F$59)/12</f>
        <v/>
      </c>
      <c r="AH11" s="19">
        <f>('Revenue build'!AH44*Assumptions!$F$55+'Revenue build'!AH46*Assumptions!$F$59)/12</f>
        <v/>
      </c>
      <c r="AI11" s="19">
        <f>('Revenue build'!AI44*Assumptions!$F$55+'Revenue build'!AI46*Assumptions!$F$59)/12</f>
        <v/>
      </c>
      <c r="AJ11" s="19">
        <f>('Revenue build'!AJ44*Assumptions!$F$55+'Revenue build'!AJ46*Assumptions!$F$59)/12</f>
        <v/>
      </c>
      <c r="AK11" s="19">
        <f>('Revenue build'!AK44*Assumptions!$F$55+'Revenue build'!AK46*Assumptions!$F$59)/12</f>
        <v/>
      </c>
      <c r="AL11" s="19">
        <f>('Revenue build'!AL44*Assumptions!$F$55+'Revenue build'!AL46*Assumptions!$F$59)/12</f>
        <v/>
      </c>
      <c r="AN11" s="19">
        <f>SUMIF($C$5:$AL$5,AN$5,C11:AL11)</f>
        <v/>
      </c>
      <c r="AO11" s="19">
        <f>SUMIF($C$5:$AL$5,AO$5,C11:AL11)</f>
        <v/>
      </c>
      <c r="AP11" s="19">
        <f>SUMIF($C$5:$AL$5,AP$5,C11:AL11)</f>
        <v/>
      </c>
      <c r="AQ11" s="19">
        <f>SUM(C11:AL11)</f>
        <v/>
      </c>
    </row>
    <row r="12">
      <c r="A12" s="7" t="inlineStr">
        <is>
          <t>TOTAL COST OF SALES</t>
        </is>
      </c>
      <c r="B12" s="4" t="inlineStr"/>
      <c r="C12" s="26">
        <f>SUM(C7:C11)</f>
        <v/>
      </c>
      <c r="D12" s="26">
        <f>SUM(D7:D11)</f>
        <v/>
      </c>
      <c r="E12" s="26">
        <f>SUM(E7:E11)</f>
        <v/>
      </c>
      <c r="F12" s="26">
        <f>SUM(F7:F11)</f>
        <v/>
      </c>
      <c r="G12" s="26">
        <f>SUM(G7:G11)</f>
        <v/>
      </c>
      <c r="H12" s="26">
        <f>SUM(H7:H11)</f>
        <v/>
      </c>
      <c r="I12" s="26">
        <f>SUM(I7:I11)</f>
        <v/>
      </c>
      <c r="J12" s="26">
        <f>SUM(J7:J11)</f>
        <v/>
      </c>
      <c r="K12" s="26">
        <f>SUM(K7:K11)</f>
        <v/>
      </c>
      <c r="L12" s="26">
        <f>SUM(L7:L11)</f>
        <v/>
      </c>
      <c r="M12" s="26">
        <f>SUM(M7:M11)</f>
        <v/>
      </c>
      <c r="N12" s="26">
        <f>SUM(N7:N11)</f>
        <v/>
      </c>
      <c r="O12" s="26">
        <f>SUM(O7:O11)</f>
        <v/>
      </c>
      <c r="P12" s="26">
        <f>SUM(P7:P11)</f>
        <v/>
      </c>
      <c r="Q12" s="26">
        <f>SUM(Q7:Q11)</f>
        <v/>
      </c>
      <c r="R12" s="26">
        <f>SUM(R7:R11)</f>
        <v/>
      </c>
      <c r="S12" s="26">
        <f>SUM(S7:S11)</f>
        <v/>
      </c>
      <c r="T12" s="26">
        <f>SUM(T7:T11)</f>
        <v/>
      </c>
      <c r="U12" s="26">
        <f>SUM(U7:U11)</f>
        <v/>
      </c>
      <c r="V12" s="26">
        <f>SUM(V7:V11)</f>
        <v/>
      </c>
      <c r="W12" s="26">
        <f>SUM(W7:W11)</f>
        <v/>
      </c>
      <c r="X12" s="26">
        <f>SUM(X7:X11)</f>
        <v/>
      </c>
      <c r="Y12" s="26">
        <f>SUM(Y7:Y11)</f>
        <v/>
      </c>
      <c r="Z12" s="26">
        <f>SUM(Z7:Z11)</f>
        <v/>
      </c>
      <c r="AA12" s="26">
        <f>SUM(AA7:AA11)</f>
        <v/>
      </c>
      <c r="AB12" s="26">
        <f>SUM(AB7:AB11)</f>
        <v/>
      </c>
      <c r="AC12" s="26">
        <f>SUM(AC7:AC11)</f>
        <v/>
      </c>
      <c r="AD12" s="26">
        <f>SUM(AD7:AD11)</f>
        <v/>
      </c>
      <c r="AE12" s="26">
        <f>SUM(AE7:AE11)</f>
        <v/>
      </c>
      <c r="AF12" s="26">
        <f>SUM(AF7:AF11)</f>
        <v/>
      </c>
      <c r="AG12" s="26">
        <f>SUM(AG7:AG11)</f>
        <v/>
      </c>
      <c r="AH12" s="26">
        <f>SUM(AH7:AH11)</f>
        <v/>
      </c>
      <c r="AI12" s="26">
        <f>SUM(AI7:AI11)</f>
        <v/>
      </c>
      <c r="AJ12" s="26">
        <f>SUM(AJ7:AJ11)</f>
        <v/>
      </c>
      <c r="AK12" s="26">
        <f>SUM(AK7:AK11)</f>
        <v/>
      </c>
      <c r="AL12" s="26">
        <f>SUM(AL7:AL11)</f>
        <v/>
      </c>
      <c r="AN12" s="26">
        <f>SUMIF($C$5:$AL$5,AN$5,C12:AL12)</f>
        <v/>
      </c>
      <c r="AO12" s="26">
        <f>SUMIF($C$5:$AL$5,AO$5,C12:AL12)</f>
        <v/>
      </c>
      <c r="AP12" s="26">
        <f>SUMIF($C$5:$AL$5,AP$5,C12:AL12)</f>
        <v/>
      </c>
      <c r="AQ12" s="26">
        <f>SUM(C12:AL12)</f>
        <v/>
      </c>
    </row>
    <row r="14">
      <c r="A14" s="22" t="inlineStr">
        <is>
          <t>Total revenue</t>
        </is>
      </c>
      <c r="B14" s="4" t="inlineStr"/>
      <c r="C14" s="19">
        <f>'Revenue build'!C50</f>
        <v/>
      </c>
      <c r="D14" s="19">
        <f>'Revenue build'!D50</f>
        <v/>
      </c>
      <c r="E14" s="19">
        <f>'Revenue build'!E50</f>
        <v/>
      </c>
      <c r="F14" s="19">
        <f>'Revenue build'!F50</f>
        <v/>
      </c>
      <c r="G14" s="19">
        <f>'Revenue build'!G50</f>
        <v/>
      </c>
      <c r="H14" s="19">
        <f>'Revenue build'!H50</f>
        <v/>
      </c>
      <c r="I14" s="19">
        <f>'Revenue build'!I50</f>
        <v/>
      </c>
      <c r="J14" s="19">
        <f>'Revenue build'!J50</f>
        <v/>
      </c>
      <c r="K14" s="19">
        <f>'Revenue build'!K50</f>
        <v/>
      </c>
      <c r="L14" s="19">
        <f>'Revenue build'!L50</f>
        <v/>
      </c>
      <c r="M14" s="19">
        <f>'Revenue build'!M50</f>
        <v/>
      </c>
      <c r="N14" s="19">
        <f>'Revenue build'!N50</f>
        <v/>
      </c>
      <c r="O14" s="19">
        <f>'Revenue build'!O50</f>
        <v/>
      </c>
      <c r="P14" s="19">
        <f>'Revenue build'!P50</f>
        <v/>
      </c>
      <c r="Q14" s="19">
        <f>'Revenue build'!Q50</f>
        <v/>
      </c>
      <c r="R14" s="19">
        <f>'Revenue build'!R50</f>
        <v/>
      </c>
      <c r="S14" s="19">
        <f>'Revenue build'!S50</f>
        <v/>
      </c>
      <c r="T14" s="19">
        <f>'Revenue build'!T50</f>
        <v/>
      </c>
      <c r="U14" s="19">
        <f>'Revenue build'!U50</f>
        <v/>
      </c>
      <c r="V14" s="19">
        <f>'Revenue build'!V50</f>
        <v/>
      </c>
      <c r="W14" s="19">
        <f>'Revenue build'!W50</f>
        <v/>
      </c>
      <c r="X14" s="19">
        <f>'Revenue build'!X50</f>
        <v/>
      </c>
      <c r="Y14" s="19">
        <f>'Revenue build'!Y50</f>
        <v/>
      </c>
      <c r="Z14" s="19">
        <f>'Revenue build'!Z50</f>
        <v/>
      </c>
      <c r="AA14" s="19">
        <f>'Revenue build'!AA50</f>
        <v/>
      </c>
      <c r="AB14" s="19">
        <f>'Revenue build'!AB50</f>
        <v/>
      </c>
      <c r="AC14" s="19">
        <f>'Revenue build'!AC50</f>
        <v/>
      </c>
      <c r="AD14" s="19">
        <f>'Revenue build'!AD50</f>
        <v/>
      </c>
      <c r="AE14" s="19">
        <f>'Revenue build'!AE50</f>
        <v/>
      </c>
      <c r="AF14" s="19">
        <f>'Revenue build'!AF50</f>
        <v/>
      </c>
      <c r="AG14" s="19">
        <f>'Revenue build'!AG50</f>
        <v/>
      </c>
      <c r="AH14" s="19">
        <f>'Revenue build'!AH50</f>
        <v/>
      </c>
      <c r="AI14" s="19">
        <f>'Revenue build'!AI50</f>
        <v/>
      </c>
      <c r="AJ14" s="19">
        <f>'Revenue build'!AJ50</f>
        <v/>
      </c>
      <c r="AK14" s="19">
        <f>'Revenue build'!AK50</f>
        <v/>
      </c>
      <c r="AL14" s="19">
        <f>'Revenue build'!AL50</f>
        <v/>
      </c>
      <c r="AN14" s="19">
        <f>SUMIF($C$5:$AL$5,AN$5,C14:AL14)</f>
        <v/>
      </c>
      <c r="AO14" s="19">
        <f>SUMIF($C$5:$AL$5,AO$5,C14:AL14)</f>
        <v/>
      </c>
      <c r="AP14" s="19">
        <f>SUMIF($C$5:$AL$5,AP$5,C14:AL14)</f>
        <v/>
      </c>
      <c r="AQ14" s="19">
        <f>SUM(C14:AL14)</f>
        <v/>
      </c>
    </row>
    <row r="15">
      <c r="A15" s="7" t="inlineStr">
        <is>
          <t>GROSS PROFIT</t>
        </is>
      </c>
      <c r="B15" s="4" t="inlineStr"/>
      <c r="C15" s="26">
        <f>'Cost of sales'!C14-'Cost of sales'!C12</f>
        <v/>
      </c>
      <c r="D15" s="26">
        <f>'Cost of sales'!D14-'Cost of sales'!D12</f>
        <v/>
      </c>
      <c r="E15" s="26">
        <f>'Cost of sales'!E14-'Cost of sales'!E12</f>
        <v/>
      </c>
      <c r="F15" s="26">
        <f>'Cost of sales'!F14-'Cost of sales'!F12</f>
        <v/>
      </c>
      <c r="G15" s="26">
        <f>'Cost of sales'!G14-'Cost of sales'!G12</f>
        <v/>
      </c>
      <c r="H15" s="26">
        <f>'Cost of sales'!H14-'Cost of sales'!H12</f>
        <v/>
      </c>
      <c r="I15" s="26">
        <f>'Cost of sales'!I14-'Cost of sales'!I12</f>
        <v/>
      </c>
      <c r="J15" s="26">
        <f>'Cost of sales'!J14-'Cost of sales'!J12</f>
        <v/>
      </c>
      <c r="K15" s="26">
        <f>'Cost of sales'!K14-'Cost of sales'!K12</f>
        <v/>
      </c>
      <c r="L15" s="26">
        <f>'Cost of sales'!L14-'Cost of sales'!L12</f>
        <v/>
      </c>
      <c r="M15" s="26">
        <f>'Cost of sales'!M14-'Cost of sales'!M12</f>
        <v/>
      </c>
      <c r="N15" s="26">
        <f>'Cost of sales'!N14-'Cost of sales'!N12</f>
        <v/>
      </c>
      <c r="O15" s="26">
        <f>'Cost of sales'!O14-'Cost of sales'!O12</f>
        <v/>
      </c>
      <c r="P15" s="26">
        <f>'Cost of sales'!P14-'Cost of sales'!P12</f>
        <v/>
      </c>
      <c r="Q15" s="26">
        <f>'Cost of sales'!Q14-'Cost of sales'!Q12</f>
        <v/>
      </c>
      <c r="R15" s="26">
        <f>'Cost of sales'!R14-'Cost of sales'!R12</f>
        <v/>
      </c>
      <c r="S15" s="26">
        <f>'Cost of sales'!S14-'Cost of sales'!S12</f>
        <v/>
      </c>
      <c r="T15" s="26">
        <f>'Cost of sales'!T14-'Cost of sales'!T12</f>
        <v/>
      </c>
      <c r="U15" s="26">
        <f>'Cost of sales'!U14-'Cost of sales'!U12</f>
        <v/>
      </c>
      <c r="V15" s="26">
        <f>'Cost of sales'!V14-'Cost of sales'!V12</f>
        <v/>
      </c>
      <c r="W15" s="26">
        <f>'Cost of sales'!W14-'Cost of sales'!W12</f>
        <v/>
      </c>
      <c r="X15" s="26">
        <f>'Cost of sales'!X14-'Cost of sales'!X12</f>
        <v/>
      </c>
      <c r="Y15" s="26">
        <f>'Cost of sales'!Y14-'Cost of sales'!Y12</f>
        <v/>
      </c>
      <c r="Z15" s="26">
        <f>'Cost of sales'!Z14-'Cost of sales'!Z12</f>
        <v/>
      </c>
      <c r="AA15" s="26">
        <f>'Cost of sales'!AA14-'Cost of sales'!AA12</f>
        <v/>
      </c>
      <c r="AB15" s="26">
        <f>'Cost of sales'!AB14-'Cost of sales'!AB12</f>
        <v/>
      </c>
      <c r="AC15" s="26">
        <f>'Cost of sales'!AC14-'Cost of sales'!AC12</f>
        <v/>
      </c>
      <c r="AD15" s="26">
        <f>'Cost of sales'!AD14-'Cost of sales'!AD12</f>
        <v/>
      </c>
      <c r="AE15" s="26">
        <f>'Cost of sales'!AE14-'Cost of sales'!AE12</f>
        <v/>
      </c>
      <c r="AF15" s="26">
        <f>'Cost of sales'!AF14-'Cost of sales'!AF12</f>
        <v/>
      </c>
      <c r="AG15" s="26">
        <f>'Cost of sales'!AG14-'Cost of sales'!AG12</f>
        <v/>
      </c>
      <c r="AH15" s="26">
        <f>'Cost of sales'!AH14-'Cost of sales'!AH12</f>
        <v/>
      </c>
      <c r="AI15" s="26">
        <f>'Cost of sales'!AI14-'Cost of sales'!AI12</f>
        <v/>
      </c>
      <c r="AJ15" s="26">
        <f>'Cost of sales'!AJ14-'Cost of sales'!AJ12</f>
        <v/>
      </c>
      <c r="AK15" s="26">
        <f>'Cost of sales'!AK14-'Cost of sales'!AK12</f>
        <v/>
      </c>
      <c r="AL15" s="26">
        <f>'Cost of sales'!AL14-'Cost of sales'!AL12</f>
        <v/>
      </c>
      <c r="AN15" s="26">
        <f>SUMIF($C$5:$AL$5,AN$5,C15:AL15)</f>
        <v/>
      </c>
      <c r="AO15" s="26">
        <f>SUMIF($C$5:$AL$5,AO$5,C15:AL15)</f>
        <v/>
      </c>
      <c r="AP15" s="26">
        <f>SUMIF($C$5:$AL$5,AP$5,C15:AL15)</f>
        <v/>
      </c>
      <c r="AQ15" s="26">
        <f>SUM(C15:AL15)</f>
        <v/>
      </c>
    </row>
    <row r="16">
      <c r="A16" s="22" t="inlineStr">
        <is>
          <t>Gross margin %</t>
        </is>
      </c>
      <c r="B16" s="4" t="inlineStr"/>
      <c r="C16" s="25">
        <f>IF('Cost of sales'!C14&gt;0,'Cost of sales'!C15/'Cost of sales'!C14,0)</f>
        <v/>
      </c>
      <c r="D16" s="25">
        <f>IF('Cost of sales'!D14&gt;0,'Cost of sales'!D15/'Cost of sales'!D14,0)</f>
        <v/>
      </c>
      <c r="E16" s="25">
        <f>IF('Cost of sales'!E14&gt;0,'Cost of sales'!E15/'Cost of sales'!E14,0)</f>
        <v/>
      </c>
      <c r="F16" s="25">
        <f>IF('Cost of sales'!F14&gt;0,'Cost of sales'!F15/'Cost of sales'!F14,0)</f>
        <v/>
      </c>
      <c r="G16" s="25">
        <f>IF('Cost of sales'!G14&gt;0,'Cost of sales'!G15/'Cost of sales'!G14,0)</f>
        <v/>
      </c>
      <c r="H16" s="25">
        <f>IF('Cost of sales'!H14&gt;0,'Cost of sales'!H15/'Cost of sales'!H14,0)</f>
        <v/>
      </c>
      <c r="I16" s="25">
        <f>IF('Cost of sales'!I14&gt;0,'Cost of sales'!I15/'Cost of sales'!I14,0)</f>
        <v/>
      </c>
      <c r="J16" s="25">
        <f>IF('Cost of sales'!J14&gt;0,'Cost of sales'!J15/'Cost of sales'!J14,0)</f>
        <v/>
      </c>
      <c r="K16" s="25">
        <f>IF('Cost of sales'!K14&gt;0,'Cost of sales'!K15/'Cost of sales'!K14,0)</f>
        <v/>
      </c>
      <c r="L16" s="25">
        <f>IF('Cost of sales'!L14&gt;0,'Cost of sales'!L15/'Cost of sales'!L14,0)</f>
        <v/>
      </c>
      <c r="M16" s="25">
        <f>IF('Cost of sales'!M14&gt;0,'Cost of sales'!M15/'Cost of sales'!M14,0)</f>
        <v/>
      </c>
      <c r="N16" s="25">
        <f>IF('Cost of sales'!N14&gt;0,'Cost of sales'!N15/'Cost of sales'!N14,0)</f>
        <v/>
      </c>
      <c r="O16" s="25">
        <f>IF('Cost of sales'!O14&gt;0,'Cost of sales'!O15/'Cost of sales'!O14,0)</f>
        <v/>
      </c>
      <c r="P16" s="25">
        <f>IF('Cost of sales'!P14&gt;0,'Cost of sales'!P15/'Cost of sales'!P14,0)</f>
        <v/>
      </c>
      <c r="Q16" s="25">
        <f>IF('Cost of sales'!Q14&gt;0,'Cost of sales'!Q15/'Cost of sales'!Q14,0)</f>
        <v/>
      </c>
      <c r="R16" s="25">
        <f>IF('Cost of sales'!R14&gt;0,'Cost of sales'!R15/'Cost of sales'!R14,0)</f>
        <v/>
      </c>
      <c r="S16" s="25">
        <f>IF('Cost of sales'!S14&gt;0,'Cost of sales'!S15/'Cost of sales'!S14,0)</f>
        <v/>
      </c>
      <c r="T16" s="25">
        <f>IF('Cost of sales'!T14&gt;0,'Cost of sales'!T15/'Cost of sales'!T14,0)</f>
        <v/>
      </c>
      <c r="U16" s="25">
        <f>IF('Cost of sales'!U14&gt;0,'Cost of sales'!U15/'Cost of sales'!U14,0)</f>
        <v/>
      </c>
      <c r="V16" s="25">
        <f>IF('Cost of sales'!V14&gt;0,'Cost of sales'!V15/'Cost of sales'!V14,0)</f>
        <v/>
      </c>
      <c r="W16" s="25">
        <f>IF('Cost of sales'!W14&gt;0,'Cost of sales'!W15/'Cost of sales'!W14,0)</f>
        <v/>
      </c>
      <c r="X16" s="25">
        <f>IF('Cost of sales'!X14&gt;0,'Cost of sales'!X15/'Cost of sales'!X14,0)</f>
        <v/>
      </c>
      <c r="Y16" s="25">
        <f>IF('Cost of sales'!Y14&gt;0,'Cost of sales'!Y15/'Cost of sales'!Y14,0)</f>
        <v/>
      </c>
      <c r="Z16" s="25">
        <f>IF('Cost of sales'!Z14&gt;0,'Cost of sales'!Z15/'Cost of sales'!Z14,0)</f>
        <v/>
      </c>
      <c r="AA16" s="25">
        <f>IF('Cost of sales'!AA14&gt;0,'Cost of sales'!AA15/'Cost of sales'!AA14,0)</f>
        <v/>
      </c>
      <c r="AB16" s="25">
        <f>IF('Cost of sales'!AB14&gt;0,'Cost of sales'!AB15/'Cost of sales'!AB14,0)</f>
        <v/>
      </c>
      <c r="AC16" s="25">
        <f>IF('Cost of sales'!AC14&gt;0,'Cost of sales'!AC15/'Cost of sales'!AC14,0)</f>
        <v/>
      </c>
      <c r="AD16" s="25">
        <f>IF('Cost of sales'!AD14&gt;0,'Cost of sales'!AD15/'Cost of sales'!AD14,0)</f>
        <v/>
      </c>
      <c r="AE16" s="25">
        <f>IF('Cost of sales'!AE14&gt;0,'Cost of sales'!AE15/'Cost of sales'!AE14,0)</f>
        <v/>
      </c>
      <c r="AF16" s="25">
        <f>IF('Cost of sales'!AF14&gt;0,'Cost of sales'!AF15/'Cost of sales'!AF14,0)</f>
        <v/>
      </c>
      <c r="AG16" s="25">
        <f>IF('Cost of sales'!AG14&gt;0,'Cost of sales'!AG15/'Cost of sales'!AG14,0)</f>
        <v/>
      </c>
      <c r="AH16" s="25">
        <f>IF('Cost of sales'!AH14&gt;0,'Cost of sales'!AH15/'Cost of sales'!AH14,0)</f>
        <v/>
      </c>
      <c r="AI16" s="25">
        <f>IF('Cost of sales'!AI14&gt;0,'Cost of sales'!AI15/'Cost of sales'!AI14,0)</f>
        <v/>
      </c>
      <c r="AJ16" s="25">
        <f>IF('Cost of sales'!AJ14&gt;0,'Cost of sales'!AJ15/'Cost of sales'!AJ14,0)</f>
        <v/>
      </c>
      <c r="AK16" s="25">
        <f>IF('Cost of sales'!AK14&gt;0,'Cost of sales'!AK15/'Cost of sales'!AK14,0)</f>
        <v/>
      </c>
      <c r="AL16" s="25">
        <f>IF('Cost of sales'!AL14&gt;0,'Cost of sales'!AL15/'Cost of sales'!AL14,0)</f>
        <v/>
      </c>
      <c r="AN16" s="25">
        <f>IF(AN14&lt;&gt;0,AN15/AN14,0)</f>
        <v/>
      </c>
      <c r="AO16" s="25">
        <f>IF(AO14&lt;&gt;0,AO15/AO14,0)</f>
        <v/>
      </c>
      <c r="AP16" s="25">
        <f>IF(AP14&lt;&gt;0,AP15/AP14,0)</f>
        <v/>
      </c>
      <c r="AQ16" s="25">
        <f>IF(AQ14&lt;&gt;0,AQ15/AQ14,0)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Q30"/>
  <sheetViews>
    <sheetView workbookViewId="0">
      <pane xSplit="2" ySplit="6" topLeftCell="C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2" customWidth="1" min="1" max="1"/>
    <col width="14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3" customWidth="1" min="40" max="40"/>
    <col width="13" customWidth="1" min="41" max="41"/>
    <col width="13" customWidth="1" min="42" max="42"/>
    <col width="13" customWidth="1" min="43" max="43"/>
  </cols>
  <sheetData>
    <row r="1">
      <c r="A1" s="38" t="inlineStr">
        <is>
          <t>Operating expenses</t>
        </is>
      </c>
    </row>
    <row r="2">
      <c r="A2" s="4">
        <f>"Scenario: "&amp;Assumptions!$D$4&amp;"  —  all figures GBP, scenario values, not actuals"</f>
        <v/>
      </c>
    </row>
    <row r="3">
      <c r="A3" s="20" t="inlineStr">
        <is>
          <t>Month #</t>
        </is>
      </c>
      <c r="B3" s="10" t="n"/>
      <c r="C3" s="20" t="n">
        <v>1</v>
      </c>
      <c r="D3" s="20" t="n">
        <v>2</v>
      </c>
      <c r="E3" s="20" t="n">
        <v>3</v>
      </c>
      <c r="F3" s="20" t="n">
        <v>4</v>
      </c>
      <c r="G3" s="20" t="n">
        <v>5</v>
      </c>
      <c r="H3" s="20" t="n">
        <v>6</v>
      </c>
      <c r="I3" s="20" t="n">
        <v>7</v>
      </c>
      <c r="J3" s="20" t="n">
        <v>8</v>
      </c>
      <c r="K3" s="20" t="n">
        <v>9</v>
      </c>
      <c r="L3" s="20" t="n">
        <v>10</v>
      </c>
      <c r="M3" s="20" t="n">
        <v>11</v>
      </c>
      <c r="N3" s="20" t="n">
        <v>12</v>
      </c>
      <c r="O3" s="20" t="n">
        <v>13</v>
      </c>
      <c r="P3" s="20" t="n">
        <v>14</v>
      </c>
      <c r="Q3" s="20" t="n">
        <v>15</v>
      </c>
      <c r="R3" s="20" t="n">
        <v>16</v>
      </c>
      <c r="S3" s="20" t="n">
        <v>17</v>
      </c>
      <c r="T3" s="20" t="n">
        <v>18</v>
      </c>
      <c r="U3" s="20" t="n">
        <v>19</v>
      </c>
      <c r="V3" s="20" t="n">
        <v>20</v>
      </c>
      <c r="W3" s="20" t="n">
        <v>21</v>
      </c>
      <c r="X3" s="20" t="n">
        <v>22</v>
      </c>
      <c r="Y3" s="20" t="n">
        <v>23</v>
      </c>
      <c r="Z3" s="20" t="n">
        <v>24</v>
      </c>
      <c r="AA3" s="20" t="n">
        <v>25</v>
      </c>
      <c r="AB3" s="20" t="n">
        <v>26</v>
      </c>
      <c r="AC3" s="20" t="n">
        <v>27</v>
      </c>
      <c r="AD3" s="20" t="n">
        <v>28</v>
      </c>
      <c r="AE3" s="20" t="n">
        <v>29</v>
      </c>
      <c r="AF3" s="20" t="n">
        <v>30</v>
      </c>
      <c r="AG3" s="20" t="n">
        <v>31</v>
      </c>
      <c r="AH3" s="20" t="n">
        <v>32</v>
      </c>
      <c r="AI3" s="20" t="n">
        <v>33</v>
      </c>
      <c r="AJ3" s="20" t="n">
        <v>34</v>
      </c>
      <c r="AK3" s="20" t="n">
        <v>35</v>
      </c>
      <c r="AL3" s="20" t="n">
        <v>36</v>
      </c>
      <c r="AM3" s="10" t="n"/>
      <c r="AN3" s="10" t="n"/>
      <c r="AO3" s="10" t="n"/>
      <c r="AP3" s="10" t="n"/>
      <c r="AQ3" s="10" t="n"/>
    </row>
    <row r="4">
      <c r="A4" s="20" t="inlineStr">
        <is>
          <t>Month</t>
        </is>
      </c>
      <c r="B4" s="10" t="n"/>
      <c r="C4" s="21" t="n">
        <v>46388</v>
      </c>
      <c r="D4" s="21" t="n">
        <v>46419</v>
      </c>
      <c r="E4" s="21" t="n">
        <v>46447</v>
      </c>
      <c r="F4" s="21" t="n">
        <v>46478</v>
      </c>
      <c r="G4" s="21" t="n">
        <v>46508</v>
      </c>
      <c r="H4" s="21" t="n">
        <v>46539</v>
      </c>
      <c r="I4" s="21" t="n">
        <v>46569</v>
      </c>
      <c r="J4" s="21" t="n">
        <v>46600</v>
      </c>
      <c r="K4" s="21" t="n">
        <v>46631</v>
      </c>
      <c r="L4" s="21" t="n">
        <v>46661</v>
      </c>
      <c r="M4" s="21" t="n">
        <v>46692</v>
      </c>
      <c r="N4" s="21" t="n">
        <v>46722</v>
      </c>
      <c r="O4" s="21" t="n">
        <v>46753</v>
      </c>
      <c r="P4" s="21" t="n">
        <v>46784</v>
      </c>
      <c r="Q4" s="21" t="n">
        <v>46813</v>
      </c>
      <c r="R4" s="21" t="n">
        <v>46844</v>
      </c>
      <c r="S4" s="21" t="n">
        <v>46874</v>
      </c>
      <c r="T4" s="21" t="n">
        <v>46905</v>
      </c>
      <c r="U4" s="21" t="n">
        <v>46935</v>
      </c>
      <c r="V4" s="21" t="n">
        <v>46966</v>
      </c>
      <c r="W4" s="21" t="n">
        <v>46997</v>
      </c>
      <c r="X4" s="21" t="n">
        <v>47027</v>
      </c>
      <c r="Y4" s="21" t="n">
        <v>47058</v>
      </c>
      <c r="Z4" s="21" t="n">
        <v>47088</v>
      </c>
      <c r="AA4" s="21" t="n">
        <v>47119</v>
      </c>
      <c r="AB4" s="21" t="n">
        <v>47150</v>
      </c>
      <c r="AC4" s="21" t="n">
        <v>47178</v>
      </c>
      <c r="AD4" s="21" t="n">
        <v>47209</v>
      </c>
      <c r="AE4" s="21" t="n">
        <v>47239</v>
      </c>
      <c r="AF4" s="21" t="n">
        <v>47270</v>
      </c>
      <c r="AG4" s="21" t="n">
        <v>47300</v>
      </c>
      <c r="AH4" s="21" t="n">
        <v>47331</v>
      </c>
      <c r="AI4" s="21" t="n">
        <v>47362</v>
      </c>
      <c r="AJ4" s="21" t="n">
        <v>47392</v>
      </c>
      <c r="AK4" s="21" t="n">
        <v>47423</v>
      </c>
      <c r="AL4" s="21" t="n">
        <v>47453</v>
      </c>
      <c r="AM4" s="10" t="n"/>
      <c r="AN4" s="20" t="inlineStr">
        <is>
          <t>FY2027</t>
        </is>
      </c>
      <c r="AO4" s="20" t="inlineStr">
        <is>
          <t>FY2028</t>
        </is>
      </c>
      <c r="AP4" s="20" t="inlineStr">
        <is>
          <t>FY2029</t>
        </is>
      </c>
      <c r="AQ4" s="20" t="inlineStr">
        <is>
          <t>3-year total</t>
        </is>
      </c>
    </row>
    <row r="5">
      <c r="A5" s="20" t="inlineStr">
        <is>
          <t>Year</t>
        </is>
      </c>
      <c r="B5" s="10" t="n"/>
      <c r="C5" s="20" t="n">
        <v>2027</v>
      </c>
      <c r="D5" s="20" t="n">
        <v>2027</v>
      </c>
      <c r="E5" s="20" t="n">
        <v>2027</v>
      </c>
      <c r="F5" s="20" t="n">
        <v>2027</v>
      </c>
      <c r="G5" s="20" t="n">
        <v>2027</v>
      </c>
      <c r="H5" s="20" t="n">
        <v>2027</v>
      </c>
      <c r="I5" s="20" t="n">
        <v>2027</v>
      </c>
      <c r="J5" s="20" t="n">
        <v>2027</v>
      </c>
      <c r="K5" s="20" t="n">
        <v>2027</v>
      </c>
      <c r="L5" s="20" t="n">
        <v>2027</v>
      </c>
      <c r="M5" s="20" t="n">
        <v>2027</v>
      </c>
      <c r="N5" s="20" t="n">
        <v>2027</v>
      </c>
      <c r="O5" s="20" t="n">
        <v>2028</v>
      </c>
      <c r="P5" s="20" t="n">
        <v>2028</v>
      </c>
      <c r="Q5" s="20" t="n">
        <v>2028</v>
      </c>
      <c r="R5" s="20" t="n">
        <v>2028</v>
      </c>
      <c r="S5" s="20" t="n">
        <v>2028</v>
      </c>
      <c r="T5" s="20" t="n">
        <v>2028</v>
      </c>
      <c r="U5" s="20" t="n">
        <v>2028</v>
      </c>
      <c r="V5" s="20" t="n">
        <v>2028</v>
      </c>
      <c r="W5" s="20" t="n">
        <v>2028</v>
      </c>
      <c r="X5" s="20" t="n">
        <v>2028</v>
      </c>
      <c r="Y5" s="20" t="n">
        <v>2028</v>
      </c>
      <c r="Z5" s="20" t="n">
        <v>2028</v>
      </c>
      <c r="AA5" s="20" t="n">
        <v>2029</v>
      </c>
      <c r="AB5" s="20" t="n">
        <v>2029</v>
      </c>
      <c r="AC5" s="20" t="n">
        <v>2029</v>
      </c>
      <c r="AD5" s="20" t="n">
        <v>2029</v>
      </c>
      <c r="AE5" s="20" t="n">
        <v>2029</v>
      </c>
      <c r="AF5" s="20" t="n">
        <v>2029</v>
      </c>
      <c r="AG5" s="20" t="n">
        <v>2029</v>
      </c>
      <c r="AH5" s="20" t="n">
        <v>2029</v>
      </c>
      <c r="AI5" s="20" t="n">
        <v>2029</v>
      </c>
      <c r="AJ5" s="20" t="n">
        <v>2029</v>
      </c>
      <c r="AK5" s="20" t="n">
        <v>2029</v>
      </c>
      <c r="AL5" s="20" t="n">
        <v>2029</v>
      </c>
      <c r="AM5" s="10" t="n"/>
      <c r="AN5" s="20" t="n">
        <v>2027</v>
      </c>
      <c r="AO5" s="20" t="n">
        <v>2028</v>
      </c>
      <c r="AP5" s="20" t="n">
        <v>2029</v>
      </c>
      <c r="AQ5" s="10" t="n"/>
    </row>
    <row r="6">
      <c r="A6" s="7" t="inlineStr">
        <is>
          <t>Year index</t>
        </is>
      </c>
      <c r="C6">
        <f>C5-2026</f>
        <v/>
      </c>
      <c r="D6">
        <f>D5-2026</f>
        <v/>
      </c>
      <c r="E6">
        <f>E5-2026</f>
        <v/>
      </c>
      <c r="F6">
        <f>F5-2026</f>
        <v/>
      </c>
      <c r="G6">
        <f>G5-2026</f>
        <v/>
      </c>
      <c r="H6">
        <f>H5-2026</f>
        <v/>
      </c>
      <c r="I6">
        <f>I5-2026</f>
        <v/>
      </c>
      <c r="J6">
        <f>J5-2026</f>
        <v/>
      </c>
      <c r="K6">
        <f>K5-2026</f>
        <v/>
      </c>
      <c r="L6">
        <f>L5-2026</f>
        <v/>
      </c>
      <c r="M6">
        <f>M5-2026</f>
        <v/>
      </c>
      <c r="N6">
        <f>N5-2026</f>
        <v/>
      </c>
      <c r="O6">
        <f>O5-2026</f>
        <v/>
      </c>
      <c r="P6">
        <f>P5-2026</f>
        <v/>
      </c>
      <c r="Q6">
        <f>Q5-2026</f>
        <v/>
      </c>
      <c r="R6">
        <f>R5-2026</f>
        <v/>
      </c>
      <c r="S6">
        <f>S5-2026</f>
        <v/>
      </c>
      <c r="T6">
        <f>T5-2026</f>
        <v/>
      </c>
      <c r="U6">
        <f>U5-2026</f>
        <v/>
      </c>
      <c r="V6">
        <f>V5-2026</f>
        <v/>
      </c>
      <c r="W6">
        <f>W5-2026</f>
        <v/>
      </c>
      <c r="X6">
        <f>X5-2026</f>
        <v/>
      </c>
      <c r="Y6">
        <f>Y5-2026</f>
        <v/>
      </c>
      <c r="Z6">
        <f>Z5-2026</f>
        <v/>
      </c>
      <c r="AA6">
        <f>AA5-2026</f>
        <v/>
      </c>
      <c r="AB6">
        <f>AB5-2026</f>
        <v/>
      </c>
      <c r="AC6">
        <f>AC5-2026</f>
        <v/>
      </c>
      <c r="AD6">
        <f>AD5-2026</f>
        <v/>
      </c>
      <c r="AE6">
        <f>AE5-2026</f>
        <v/>
      </c>
      <c r="AF6">
        <f>AF5-2026</f>
        <v/>
      </c>
      <c r="AG6">
        <f>AG5-2026</f>
        <v/>
      </c>
      <c r="AH6">
        <f>AH5-2026</f>
        <v/>
      </c>
      <c r="AI6">
        <f>AI5-2026</f>
        <v/>
      </c>
      <c r="AJ6">
        <f>AJ5-2026</f>
        <v/>
      </c>
      <c r="AK6">
        <f>AK5-2026</f>
        <v/>
      </c>
      <c r="AL6">
        <f>AL5-2026</f>
        <v/>
      </c>
    </row>
    <row r="7">
      <c r="A7" s="9" t="inlineStr">
        <is>
          <t>PEOPLE</t>
        </is>
      </c>
      <c r="B7" s="10" t="n"/>
      <c r="C7" s="10" t="n"/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  <c r="M7" s="10" t="n"/>
      <c r="N7" s="10" t="n"/>
      <c r="O7" s="10" t="n"/>
      <c r="P7" s="10" t="n"/>
      <c r="Q7" s="10" t="n"/>
      <c r="R7" s="10" t="n"/>
      <c r="S7" s="10" t="n"/>
      <c r="T7" s="10" t="n"/>
      <c r="U7" s="10" t="n"/>
      <c r="V7" s="10" t="n"/>
      <c r="W7" s="10" t="n"/>
      <c r="X7" s="10" t="n"/>
      <c r="Y7" s="10" t="n"/>
      <c r="Z7" s="10" t="n"/>
      <c r="AA7" s="10" t="n"/>
      <c r="AB7" s="10" t="n"/>
      <c r="AC7" s="10" t="n"/>
      <c r="AD7" s="10" t="n"/>
      <c r="AE7" s="10" t="n"/>
      <c r="AF7" s="10" t="n"/>
      <c r="AG7" s="10" t="n"/>
      <c r="AH7" s="10" t="n"/>
      <c r="AI7" s="10" t="n"/>
      <c r="AJ7" s="10" t="n"/>
      <c r="AK7" s="10" t="n"/>
      <c r="AL7" s="10" t="n"/>
      <c r="AM7" s="10" t="n"/>
      <c r="AN7" s="10" t="n"/>
      <c r="AO7" s="10" t="n"/>
      <c r="AP7" s="10" t="n"/>
      <c r="AQ7" s="10" t="n"/>
    </row>
    <row r="8">
      <c r="A8" s="22" t="inlineStr">
        <is>
          <t>Founder salary</t>
        </is>
      </c>
      <c r="B8" s="4" t="inlineStr"/>
      <c r="C8" s="19">
        <f>'Headcount'!C21</f>
        <v/>
      </c>
      <c r="D8" s="19">
        <f>'Headcount'!D21</f>
        <v/>
      </c>
      <c r="E8" s="19">
        <f>'Headcount'!E21</f>
        <v/>
      </c>
      <c r="F8" s="19">
        <f>'Headcount'!F21</f>
        <v/>
      </c>
      <c r="G8" s="19">
        <f>'Headcount'!G21</f>
        <v/>
      </c>
      <c r="H8" s="19">
        <f>'Headcount'!H21</f>
        <v/>
      </c>
      <c r="I8" s="19">
        <f>'Headcount'!I21</f>
        <v/>
      </c>
      <c r="J8" s="19">
        <f>'Headcount'!J21</f>
        <v/>
      </c>
      <c r="K8" s="19">
        <f>'Headcount'!K21</f>
        <v/>
      </c>
      <c r="L8" s="19">
        <f>'Headcount'!L21</f>
        <v/>
      </c>
      <c r="M8" s="19">
        <f>'Headcount'!M21</f>
        <v/>
      </c>
      <c r="N8" s="19">
        <f>'Headcount'!N21</f>
        <v/>
      </c>
      <c r="O8" s="19">
        <f>'Headcount'!O21</f>
        <v/>
      </c>
      <c r="P8" s="19">
        <f>'Headcount'!P21</f>
        <v/>
      </c>
      <c r="Q8" s="19">
        <f>'Headcount'!Q21</f>
        <v/>
      </c>
      <c r="R8" s="19">
        <f>'Headcount'!R21</f>
        <v/>
      </c>
      <c r="S8" s="19">
        <f>'Headcount'!S21</f>
        <v/>
      </c>
      <c r="T8" s="19">
        <f>'Headcount'!T21</f>
        <v/>
      </c>
      <c r="U8" s="19">
        <f>'Headcount'!U21</f>
        <v/>
      </c>
      <c r="V8" s="19">
        <f>'Headcount'!V21</f>
        <v/>
      </c>
      <c r="W8" s="19">
        <f>'Headcount'!W21</f>
        <v/>
      </c>
      <c r="X8" s="19">
        <f>'Headcount'!X21</f>
        <v/>
      </c>
      <c r="Y8" s="19">
        <f>'Headcount'!Y21</f>
        <v/>
      </c>
      <c r="Z8" s="19">
        <f>'Headcount'!Z21</f>
        <v/>
      </c>
      <c r="AA8" s="19">
        <f>'Headcount'!AA21</f>
        <v/>
      </c>
      <c r="AB8" s="19">
        <f>'Headcount'!AB21</f>
        <v/>
      </c>
      <c r="AC8" s="19">
        <f>'Headcount'!AC21</f>
        <v/>
      </c>
      <c r="AD8" s="19">
        <f>'Headcount'!AD21</f>
        <v/>
      </c>
      <c r="AE8" s="19">
        <f>'Headcount'!AE21</f>
        <v/>
      </c>
      <c r="AF8" s="19">
        <f>'Headcount'!AF21</f>
        <v/>
      </c>
      <c r="AG8" s="19">
        <f>'Headcount'!AG21</f>
        <v/>
      </c>
      <c r="AH8" s="19">
        <f>'Headcount'!AH21</f>
        <v/>
      </c>
      <c r="AI8" s="19">
        <f>'Headcount'!AI21</f>
        <v/>
      </c>
      <c r="AJ8" s="19">
        <f>'Headcount'!AJ21</f>
        <v/>
      </c>
      <c r="AK8" s="19">
        <f>'Headcount'!AK21</f>
        <v/>
      </c>
      <c r="AL8" s="19">
        <f>'Headcount'!AL21</f>
        <v/>
      </c>
      <c r="AN8" s="19">
        <f>SUMIF($C$5:$AL$5,AN$5,C8:AL8)</f>
        <v/>
      </c>
      <c r="AO8" s="19">
        <f>SUMIF($C$5:$AL$5,AO$5,C8:AL8)</f>
        <v/>
      </c>
      <c r="AP8" s="19">
        <f>SUMIF($C$5:$AL$5,AP$5,C8:AL8)</f>
        <v/>
      </c>
      <c r="AQ8" s="19">
        <f>SUM(C8:AL8)</f>
        <v/>
      </c>
    </row>
    <row r="9">
      <c r="A9" s="22" t="inlineStr">
        <is>
          <t>Employee salaries (hires)</t>
        </is>
      </c>
      <c r="B9" s="4" t="inlineStr"/>
      <c r="C9" s="19">
        <f>'Headcount'!C31-'Headcount'!C21</f>
        <v/>
      </c>
      <c r="D9" s="19">
        <f>'Headcount'!D31-'Headcount'!D21</f>
        <v/>
      </c>
      <c r="E9" s="19">
        <f>'Headcount'!E31-'Headcount'!E21</f>
        <v/>
      </c>
      <c r="F9" s="19">
        <f>'Headcount'!F31-'Headcount'!F21</f>
        <v/>
      </c>
      <c r="G9" s="19">
        <f>'Headcount'!G31-'Headcount'!G21</f>
        <v/>
      </c>
      <c r="H9" s="19">
        <f>'Headcount'!H31-'Headcount'!H21</f>
        <v/>
      </c>
      <c r="I9" s="19">
        <f>'Headcount'!I31-'Headcount'!I21</f>
        <v/>
      </c>
      <c r="J9" s="19">
        <f>'Headcount'!J31-'Headcount'!J21</f>
        <v/>
      </c>
      <c r="K9" s="19">
        <f>'Headcount'!K31-'Headcount'!K21</f>
        <v/>
      </c>
      <c r="L9" s="19">
        <f>'Headcount'!L31-'Headcount'!L21</f>
        <v/>
      </c>
      <c r="M9" s="19">
        <f>'Headcount'!M31-'Headcount'!M21</f>
        <v/>
      </c>
      <c r="N9" s="19">
        <f>'Headcount'!N31-'Headcount'!N21</f>
        <v/>
      </c>
      <c r="O9" s="19">
        <f>'Headcount'!O31-'Headcount'!O21</f>
        <v/>
      </c>
      <c r="P9" s="19">
        <f>'Headcount'!P31-'Headcount'!P21</f>
        <v/>
      </c>
      <c r="Q9" s="19">
        <f>'Headcount'!Q31-'Headcount'!Q21</f>
        <v/>
      </c>
      <c r="R9" s="19">
        <f>'Headcount'!R31-'Headcount'!R21</f>
        <v/>
      </c>
      <c r="S9" s="19">
        <f>'Headcount'!S31-'Headcount'!S21</f>
        <v/>
      </c>
      <c r="T9" s="19">
        <f>'Headcount'!T31-'Headcount'!T21</f>
        <v/>
      </c>
      <c r="U9" s="19">
        <f>'Headcount'!U31-'Headcount'!U21</f>
        <v/>
      </c>
      <c r="V9" s="19">
        <f>'Headcount'!V31-'Headcount'!V21</f>
        <v/>
      </c>
      <c r="W9" s="19">
        <f>'Headcount'!W31-'Headcount'!W21</f>
        <v/>
      </c>
      <c r="X9" s="19">
        <f>'Headcount'!X31-'Headcount'!X21</f>
        <v/>
      </c>
      <c r="Y9" s="19">
        <f>'Headcount'!Y31-'Headcount'!Y21</f>
        <v/>
      </c>
      <c r="Z9" s="19">
        <f>'Headcount'!Z31-'Headcount'!Z21</f>
        <v/>
      </c>
      <c r="AA9" s="19">
        <f>'Headcount'!AA31-'Headcount'!AA21</f>
        <v/>
      </c>
      <c r="AB9" s="19">
        <f>'Headcount'!AB31-'Headcount'!AB21</f>
        <v/>
      </c>
      <c r="AC9" s="19">
        <f>'Headcount'!AC31-'Headcount'!AC21</f>
        <v/>
      </c>
      <c r="AD9" s="19">
        <f>'Headcount'!AD31-'Headcount'!AD21</f>
        <v/>
      </c>
      <c r="AE9" s="19">
        <f>'Headcount'!AE31-'Headcount'!AE21</f>
        <v/>
      </c>
      <c r="AF9" s="19">
        <f>'Headcount'!AF31-'Headcount'!AF21</f>
        <v/>
      </c>
      <c r="AG9" s="19">
        <f>'Headcount'!AG31-'Headcount'!AG21</f>
        <v/>
      </c>
      <c r="AH9" s="19">
        <f>'Headcount'!AH31-'Headcount'!AH21</f>
        <v/>
      </c>
      <c r="AI9" s="19">
        <f>'Headcount'!AI31-'Headcount'!AI21</f>
        <v/>
      </c>
      <c r="AJ9" s="19">
        <f>'Headcount'!AJ31-'Headcount'!AJ21</f>
        <v/>
      </c>
      <c r="AK9" s="19">
        <f>'Headcount'!AK31-'Headcount'!AK21</f>
        <v/>
      </c>
      <c r="AL9" s="19">
        <f>'Headcount'!AL31-'Headcount'!AL21</f>
        <v/>
      </c>
      <c r="AN9" s="19">
        <f>SUMIF($C$5:$AL$5,AN$5,C9:AL9)</f>
        <v/>
      </c>
      <c r="AO9" s="19">
        <f>SUMIF($C$5:$AL$5,AO$5,C9:AL9)</f>
        <v/>
      </c>
      <c r="AP9" s="19">
        <f>SUMIF($C$5:$AL$5,AP$5,C9:AL9)</f>
        <v/>
      </c>
      <c r="AQ9" s="19">
        <f>SUM(C9:AL9)</f>
        <v/>
      </c>
    </row>
    <row r="10">
      <c r="A10" s="22" t="inlineStr">
        <is>
          <t>Employer NI (15% above secondary threshold)</t>
        </is>
      </c>
      <c r="B10" s="4" t="inlineStr"/>
      <c r="C10" s="19">
        <f>'Headcount'!C44</f>
        <v/>
      </c>
      <c r="D10" s="19">
        <f>'Headcount'!D44</f>
        <v/>
      </c>
      <c r="E10" s="19">
        <f>'Headcount'!E44</f>
        <v/>
      </c>
      <c r="F10" s="19">
        <f>'Headcount'!F44</f>
        <v/>
      </c>
      <c r="G10" s="19">
        <f>'Headcount'!G44</f>
        <v/>
      </c>
      <c r="H10" s="19">
        <f>'Headcount'!H44</f>
        <v/>
      </c>
      <c r="I10" s="19">
        <f>'Headcount'!I44</f>
        <v/>
      </c>
      <c r="J10" s="19">
        <f>'Headcount'!J44</f>
        <v/>
      </c>
      <c r="K10" s="19">
        <f>'Headcount'!K44</f>
        <v/>
      </c>
      <c r="L10" s="19">
        <f>'Headcount'!L44</f>
        <v/>
      </c>
      <c r="M10" s="19">
        <f>'Headcount'!M44</f>
        <v/>
      </c>
      <c r="N10" s="19">
        <f>'Headcount'!N44</f>
        <v/>
      </c>
      <c r="O10" s="19">
        <f>'Headcount'!O44</f>
        <v/>
      </c>
      <c r="P10" s="19">
        <f>'Headcount'!P44</f>
        <v/>
      </c>
      <c r="Q10" s="19">
        <f>'Headcount'!Q44</f>
        <v/>
      </c>
      <c r="R10" s="19">
        <f>'Headcount'!R44</f>
        <v/>
      </c>
      <c r="S10" s="19">
        <f>'Headcount'!S44</f>
        <v/>
      </c>
      <c r="T10" s="19">
        <f>'Headcount'!T44</f>
        <v/>
      </c>
      <c r="U10" s="19">
        <f>'Headcount'!U44</f>
        <v/>
      </c>
      <c r="V10" s="19">
        <f>'Headcount'!V44</f>
        <v/>
      </c>
      <c r="W10" s="19">
        <f>'Headcount'!W44</f>
        <v/>
      </c>
      <c r="X10" s="19">
        <f>'Headcount'!X44</f>
        <v/>
      </c>
      <c r="Y10" s="19">
        <f>'Headcount'!Y44</f>
        <v/>
      </c>
      <c r="Z10" s="19">
        <f>'Headcount'!Z44</f>
        <v/>
      </c>
      <c r="AA10" s="19">
        <f>'Headcount'!AA44</f>
        <v/>
      </c>
      <c r="AB10" s="19">
        <f>'Headcount'!AB44</f>
        <v/>
      </c>
      <c r="AC10" s="19">
        <f>'Headcount'!AC44</f>
        <v/>
      </c>
      <c r="AD10" s="19">
        <f>'Headcount'!AD44</f>
        <v/>
      </c>
      <c r="AE10" s="19">
        <f>'Headcount'!AE44</f>
        <v/>
      </c>
      <c r="AF10" s="19">
        <f>'Headcount'!AF44</f>
        <v/>
      </c>
      <c r="AG10" s="19">
        <f>'Headcount'!AG44</f>
        <v/>
      </c>
      <c r="AH10" s="19">
        <f>'Headcount'!AH44</f>
        <v/>
      </c>
      <c r="AI10" s="19">
        <f>'Headcount'!AI44</f>
        <v/>
      </c>
      <c r="AJ10" s="19">
        <f>'Headcount'!AJ44</f>
        <v/>
      </c>
      <c r="AK10" s="19">
        <f>'Headcount'!AK44</f>
        <v/>
      </c>
      <c r="AL10" s="19">
        <f>'Headcount'!AL44</f>
        <v/>
      </c>
      <c r="AN10" s="19">
        <f>SUMIF($C$5:$AL$5,AN$5,C10:AL10)</f>
        <v/>
      </c>
      <c r="AO10" s="19">
        <f>SUMIF($C$5:$AL$5,AO$5,C10:AL10)</f>
        <v/>
      </c>
      <c r="AP10" s="19">
        <f>SUMIF($C$5:$AL$5,AP$5,C10:AL10)</f>
        <v/>
      </c>
      <c r="AQ10" s="19">
        <f>SUM(C10:AL10)</f>
        <v/>
      </c>
    </row>
    <row r="11">
      <c r="A11" s="22" t="inlineStr">
        <is>
          <t>Employer pension (3% qualifying earnings)</t>
        </is>
      </c>
      <c r="B11" s="4" t="inlineStr"/>
      <c r="C11" s="19">
        <f>'Headcount'!C57</f>
        <v/>
      </c>
      <c r="D11" s="19">
        <f>'Headcount'!D57</f>
        <v/>
      </c>
      <c r="E11" s="19">
        <f>'Headcount'!E57</f>
        <v/>
      </c>
      <c r="F11" s="19">
        <f>'Headcount'!F57</f>
        <v/>
      </c>
      <c r="G11" s="19">
        <f>'Headcount'!G57</f>
        <v/>
      </c>
      <c r="H11" s="19">
        <f>'Headcount'!H57</f>
        <v/>
      </c>
      <c r="I11" s="19">
        <f>'Headcount'!I57</f>
        <v/>
      </c>
      <c r="J11" s="19">
        <f>'Headcount'!J57</f>
        <v/>
      </c>
      <c r="K11" s="19">
        <f>'Headcount'!K57</f>
        <v/>
      </c>
      <c r="L11" s="19">
        <f>'Headcount'!L57</f>
        <v/>
      </c>
      <c r="M11" s="19">
        <f>'Headcount'!M57</f>
        <v/>
      </c>
      <c r="N11" s="19">
        <f>'Headcount'!N57</f>
        <v/>
      </c>
      <c r="O11" s="19">
        <f>'Headcount'!O57</f>
        <v/>
      </c>
      <c r="P11" s="19">
        <f>'Headcount'!P57</f>
        <v/>
      </c>
      <c r="Q11" s="19">
        <f>'Headcount'!Q57</f>
        <v/>
      </c>
      <c r="R11" s="19">
        <f>'Headcount'!R57</f>
        <v/>
      </c>
      <c r="S11" s="19">
        <f>'Headcount'!S57</f>
        <v/>
      </c>
      <c r="T11" s="19">
        <f>'Headcount'!T57</f>
        <v/>
      </c>
      <c r="U11" s="19">
        <f>'Headcount'!U57</f>
        <v/>
      </c>
      <c r="V11" s="19">
        <f>'Headcount'!V57</f>
        <v/>
      </c>
      <c r="W11" s="19">
        <f>'Headcount'!W57</f>
        <v/>
      </c>
      <c r="X11" s="19">
        <f>'Headcount'!X57</f>
        <v/>
      </c>
      <c r="Y11" s="19">
        <f>'Headcount'!Y57</f>
        <v/>
      </c>
      <c r="Z11" s="19">
        <f>'Headcount'!Z57</f>
        <v/>
      </c>
      <c r="AA11" s="19">
        <f>'Headcount'!AA57</f>
        <v/>
      </c>
      <c r="AB11" s="19">
        <f>'Headcount'!AB57</f>
        <v/>
      </c>
      <c r="AC11" s="19">
        <f>'Headcount'!AC57</f>
        <v/>
      </c>
      <c r="AD11" s="19">
        <f>'Headcount'!AD57</f>
        <v/>
      </c>
      <c r="AE11" s="19">
        <f>'Headcount'!AE57</f>
        <v/>
      </c>
      <c r="AF11" s="19">
        <f>'Headcount'!AF57</f>
        <v/>
      </c>
      <c r="AG11" s="19">
        <f>'Headcount'!AG57</f>
        <v/>
      </c>
      <c r="AH11" s="19">
        <f>'Headcount'!AH57</f>
        <v/>
      </c>
      <c r="AI11" s="19">
        <f>'Headcount'!AI57</f>
        <v/>
      </c>
      <c r="AJ11" s="19">
        <f>'Headcount'!AJ57</f>
        <v/>
      </c>
      <c r="AK11" s="19">
        <f>'Headcount'!AK57</f>
        <v/>
      </c>
      <c r="AL11" s="19">
        <f>'Headcount'!AL57</f>
        <v/>
      </c>
      <c r="AN11" s="19">
        <f>SUMIF($C$5:$AL$5,AN$5,C11:AL11)</f>
        <v/>
      </c>
      <c r="AO11" s="19">
        <f>SUMIF($C$5:$AL$5,AO$5,C11:AL11)</f>
        <v/>
      </c>
      <c r="AP11" s="19">
        <f>SUMIF($C$5:$AL$5,AP$5,C11:AL11)</f>
        <v/>
      </c>
      <c r="AQ11" s="19">
        <f>SUM(C11:AL11)</f>
        <v/>
      </c>
    </row>
    <row r="12">
      <c r="A12" s="22" t="inlineStr">
        <is>
          <t>Employment Allowance credit</t>
        </is>
      </c>
      <c r="B12" s="4" t="inlineStr"/>
      <c r="C12" s="19">
        <f>'Headcount'!C59</f>
        <v/>
      </c>
      <c r="D12" s="19">
        <f>'Headcount'!D59</f>
        <v/>
      </c>
      <c r="E12" s="19">
        <f>'Headcount'!E59</f>
        <v/>
      </c>
      <c r="F12" s="19">
        <f>'Headcount'!F59</f>
        <v/>
      </c>
      <c r="G12" s="19">
        <f>'Headcount'!G59</f>
        <v/>
      </c>
      <c r="H12" s="19">
        <f>'Headcount'!H59</f>
        <v/>
      </c>
      <c r="I12" s="19">
        <f>'Headcount'!I59</f>
        <v/>
      </c>
      <c r="J12" s="19">
        <f>'Headcount'!J59</f>
        <v/>
      </c>
      <c r="K12" s="19">
        <f>'Headcount'!K59</f>
        <v/>
      </c>
      <c r="L12" s="19">
        <f>'Headcount'!L59</f>
        <v/>
      </c>
      <c r="M12" s="19">
        <f>'Headcount'!M59</f>
        <v/>
      </c>
      <c r="N12" s="19">
        <f>'Headcount'!N59</f>
        <v/>
      </c>
      <c r="O12" s="19">
        <f>'Headcount'!O59</f>
        <v/>
      </c>
      <c r="P12" s="19">
        <f>'Headcount'!P59</f>
        <v/>
      </c>
      <c r="Q12" s="19">
        <f>'Headcount'!Q59</f>
        <v/>
      </c>
      <c r="R12" s="19">
        <f>'Headcount'!R59</f>
        <v/>
      </c>
      <c r="S12" s="19">
        <f>'Headcount'!S59</f>
        <v/>
      </c>
      <c r="T12" s="19">
        <f>'Headcount'!T59</f>
        <v/>
      </c>
      <c r="U12" s="19">
        <f>'Headcount'!U59</f>
        <v/>
      </c>
      <c r="V12" s="19">
        <f>'Headcount'!V59</f>
        <v/>
      </c>
      <c r="W12" s="19">
        <f>'Headcount'!W59</f>
        <v/>
      </c>
      <c r="X12" s="19">
        <f>'Headcount'!X59</f>
        <v/>
      </c>
      <c r="Y12" s="19">
        <f>'Headcount'!Y59</f>
        <v/>
      </c>
      <c r="Z12" s="19">
        <f>'Headcount'!Z59</f>
        <v/>
      </c>
      <c r="AA12" s="19">
        <f>'Headcount'!AA59</f>
        <v/>
      </c>
      <c r="AB12" s="19">
        <f>'Headcount'!AB59</f>
        <v/>
      </c>
      <c r="AC12" s="19">
        <f>'Headcount'!AC59</f>
        <v/>
      </c>
      <c r="AD12" s="19">
        <f>'Headcount'!AD59</f>
        <v/>
      </c>
      <c r="AE12" s="19">
        <f>'Headcount'!AE59</f>
        <v/>
      </c>
      <c r="AF12" s="19">
        <f>'Headcount'!AF59</f>
        <v/>
      </c>
      <c r="AG12" s="19">
        <f>'Headcount'!AG59</f>
        <v/>
      </c>
      <c r="AH12" s="19">
        <f>'Headcount'!AH59</f>
        <v/>
      </c>
      <c r="AI12" s="19">
        <f>'Headcount'!AI59</f>
        <v/>
      </c>
      <c r="AJ12" s="19">
        <f>'Headcount'!AJ59</f>
        <v/>
      </c>
      <c r="AK12" s="19">
        <f>'Headcount'!AK59</f>
        <v/>
      </c>
      <c r="AL12" s="19">
        <f>'Headcount'!AL59</f>
        <v/>
      </c>
      <c r="AN12" s="19">
        <f>SUMIF($C$5:$AL$5,AN$5,C12:AL12)</f>
        <v/>
      </c>
      <c r="AO12" s="19">
        <f>SUMIF($C$5:$AL$5,AO$5,C12:AL12)</f>
        <v/>
      </c>
      <c r="AP12" s="19">
        <f>SUMIF($C$5:$AL$5,AP$5,C12:AL12)</f>
        <v/>
      </c>
      <c r="AQ12" s="19">
        <f>SUM(C12:AL12)</f>
        <v/>
      </c>
    </row>
    <row r="13">
      <c r="A13" s="7" t="inlineStr">
        <is>
          <t>Total employment cost</t>
        </is>
      </c>
      <c r="B13" s="4" t="inlineStr"/>
      <c r="C13" s="26">
        <f>SUM(C8:C12)</f>
        <v/>
      </c>
      <c r="D13" s="26">
        <f>SUM(D8:D12)</f>
        <v/>
      </c>
      <c r="E13" s="26">
        <f>SUM(E8:E12)</f>
        <v/>
      </c>
      <c r="F13" s="26">
        <f>SUM(F8:F12)</f>
        <v/>
      </c>
      <c r="G13" s="26">
        <f>SUM(G8:G12)</f>
        <v/>
      </c>
      <c r="H13" s="26">
        <f>SUM(H8:H12)</f>
        <v/>
      </c>
      <c r="I13" s="26">
        <f>SUM(I8:I12)</f>
        <v/>
      </c>
      <c r="J13" s="26">
        <f>SUM(J8:J12)</f>
        <v/>
      </c>
      <c r="K13" s="26">
        <f>SUM(K8:K12)</f>
        <v/>
      </c>
      <c r="L13" s="26">
        <f>SUM(L8:L12)</f>
        <v/>
      </c>
      <c r="M13" s="26">
        <f>SUM(M8:M12)</f>
        <v/>
      </c>
      <c r="N13" s="26">
        <f>SUM(N8:N12)</f>
        <v/>
      </c>
      <c r="O13" s="26">
        <f>SUM(O8:O12)</f>
        <v/>
      </c>
      <c r="P13" s="26">
        <f>SUM(P8:P12)</f>
        <v/>
      </c>
      <c r="Q13" s="26">
        <f>SUM(Q8:Q12)</f>
        <v/>
      </c>
      <c r="R13" s="26">
        <f>SUM(R8:R12)</f>
        <v/>
      </c>
      <c r="S13" s="26">
        <f>SUM(S8:S12)</f>
        <v/>
      </c>
      <c r="T13" s="26">
        <f>SUM(T8:T12)</f>
        <v/>
      </c>
      <c r="U13" s="26">
        <f>SUM(U8:U12)</f>
        <v/>
      </c>
      <c r="V13" s="26">
        <f>SUM(V8:V12)</f>
        <v/>
      </c>
      <c r="W13" s="26">
        <f>SUM(W8:W12)</f>
        <v/>
      </c>
      <c r="X13" s="26">
        <f>SUM(X8:X12)</f>
        <v/>
      </c>
      <c r="Y13" s="26">
        <f>SUM(Y8:Y12)</f>
        <v/>
      </c>
      <c r="Z13" s="26">
        <f>SUM(Z8:Z12)</f>
        <v/>
      </c>
      <c r="AA13" s="26">
        <f>SUM(AA8:AA12)</f>
        <v/>
      </c>
      <c r="AB13" s="26">
        <f>SUM(AB8:AB12)</f>
        <v/>
      </c>
      <c r="AC13" s="26">
        <f>SUM(AC8:AC12)</f>
        <v/>
      </c>
      <c r="AD13" s="26">
        <f>SUM(AD8:AD12)</f>
        <v/>
      </c>
      <c r="AE13" s="26">
        <f>SUM(AE8:AE12)</f>
        <v/>
      </c>
      <c r="AF13" s="26">
        <f>SUM(AF8:AF12)</f>
        <v/>
      </c>
      <c r="AG13" s="26">
        <f>SUM(AG8:AG12)</f>
        <v/>
      </c>
      <c r="AH13" s="26">
        <f>SUM(AH8:AH12)</f>
        <v/>
      </c>
      <c r="AI13" s="26">
        <f>SUM(AI8:AI12)</f>
        <v/>
      </c>
      <c r="AJ13" s="26">
        <f>SUM(AJ8:AJ12)</f>
        <v/>
      </c>
      <c r="AK13" s="26">
        <f>SUM(AK8:AK12)</f>
        <v/>
      </c>
      <c r="AL13" s="26">
        <f>SUM(AL8:AL12)</f>
        <v/>
      </c>
      <c r="AN13" s="26">
        <f>SUMIF($C$5:$AL$5,AN$5,C13:AL13)</f>
        <v/>
      </c>
      <c r="AO13" s="26">
        <f>SUMIF($C$5:$AL$5,AO$5,C13:AL13)</f>
        <v/>
      </c>
      <c r="AP13" s="26">
        <f>SUMIF($C$5:$AL$5,AP$5,C13:AL13)</f>
        <v/>
      </c>
      <c r="AQ13" s="26">
        <f>SUM(C13:AL13)</f>
        <v/>
      </c>
    </row>
    <row r="15">
      <c r="A15" s="9" t="inlineStr">
        <is>
          <t>OTHER OPERATING COSTS</t>
        </is>
      </c>
      <c r="B15" s="10" t="n"/>
      <c r="C15" s="10" t="n"/>
      <c r="D15" s="10" t="n"/>
      <c r="E15" s="10" t="n"/>
      <c r="F15" s="10" t="n"/>
      <c r="G15" s="10" t="n"/>
      <c r="H15" s="10" t="n"/>
      <c r="I15" s="10" t="n"/>
      <c r="J15" s="10" t="n"/>
      <c r="K15" s="10" t="n"/>
      <c r="L15" s="10" t="n"/>
      <c r="M15" s="10" t="n"/>
      <c r="N15" s="10" t="n"/>
      <c r="O15" s="10" t="n"/>
      <c r="P15" s="10" t="n"/>
      <c r="Q15" s="10" t="n"/>
      <c r="R15" s="10" t="n"/>
      <c r="S15" s="10" t="n"/>
      <c r="T15" s="10" t="n"/>
      <c r="U15" s="10" t="n"/>
      <c r="V15" s="10" t="n"/>
      <c r="W15" s="10" t="n"/>
      <c r="X15" s="10" t="n"/>
      <c r="Y15" s="10" t="n"/>
      <c r="Z15" s="10" t="n"/>
      <c r="AA15" s="10" t="n"/>
      <c r="AB15" s="10" t="n"/>
      <c r="AC15" s="10" t="n"/>
      <c r="AD15" s="10" t="n"/>
      <c r="AE15" s="10" t="n"/>
      <c r="AF15" s="10" t="n"/>
      <c r="AG15" s="10" t="n"/>
      <c r="AH15" s="10" t="n"/>
      <c r="AI15" s="10" t="n"/>
      <c r="AJ15" s="10" t="n"/>
      <c r="AK15" s="10" t="n"/>
      <c r="AL15" s="10" t="n"/>
      <c r="AM15" s="10" t="n"/>
      <c r="AN15" s="10" t="n"/>
      <c r="AO15" s="10" t="n"/>
      <c r="AP15" s="10" t="n"/>
      <c r="AQ15" s="10" t="n"/>
    </row>
    <row r="16">
      <c r="A16" s="22" t="inlineStr">
        <is>
          <t>Contractors (dev, design, implementation, fractional clinical safety officer)</t>
        </is>
      </c>
      <c r="B16" s="4" t="inlineStr"/>
      <c r="C16" s="19">
        <f>CHOOSE(C6,Assumptions!$F$89,Assumptions!$F$90,Assumptions!$F$91)</f>
        <v/>
      </c>
      <c r="D16" s="19">
        <f>CHOOSE(D6,Assumptions!$F$89,Assumptions!$F$90,Assumptions!$F$91)</f>
        <v/>
      </c>
      <c r="E16" s="19">
        <f>CHOOSE(E6,Assumptions!$F$89,Assumptions!$F$90,Assumptions!$F$91)</f>
        <v/>
      </c>
      <c r="F16" s="19">
        <f>CHOOSE(F6,Assumptions!$F$89,Assumptions!$F$90,Assumptions!$F$91)</f>
        <v/>
      </c>
      <c r="G16" s="19">
        <f>CHOOSE(G6,Assumptions!$F$89,Assumptions!$F$90,Assumptions!$F$91)</f>
        <v/>
      </c>
      <c r="H16" s="19">
        <f>CHOOSE(H6,Assumptions!$F$89,Assumptions!$F$90,Assumptions!$F$91)</f>
        <v/>
      </c>
      <c r="I16" s="19">
        <f>CHOOSE(I6,Assumptions!$F$89,Assumptions!$F$90,Assumptions!$F$91)</f>
        <v/>
      </c>
      <c r="J16" s="19">
        <f>CHOOSE(J6,Assumptions!$F$89,Assumptions!$F$90,Assumptions!$F$91)</f>
        <v/>
      </c>
      <c r="K16" s="19">
        <f>CHOOSE(K6,Assumptions!$F$89,Assumptions!$F$90,Assumptions!$F$91)</f>
        <v/>
      </c>
      <c r="L16" s="19">
        <f>CHOOSE(L6,Assumptions!$F$89,Assumptions!$F$90,Assumptions!$F$91)</f>
        <v/>
      </c>
      <c r="M16" s="19">
        <f>CHOOSE(M6,Assumptions!$F$89,Assumptions!$F$90,Assumptions!$F$91)</f>
        <v/>
      </c>
      <c r="N16" s="19">
        <f>CHOOSE(N6,Assumptions!$F$89,Assumptions!$F$90,Assumptions!$F$91)</f>
        <v/>
      </c>
      <c r="O16" s="19">
        <f>CHOOSE(O6,Assumptions!$F$89,Assumptions!$F$90,Assumptions!$F$91)</f>
        <v/>
      </c>
      <c r="P16" s="19">
        <f>CHOOSE(P6,Assumptions!$F$89,Assumptions!$F$90,Assumptions!$F$91)</f>
        <v/>
      </c>
      <c r="Q16" s="19">
        <f>CHOOSE(Q6,Assumptions!$F$89,Assumptions!$F$90,Assumptions!$F$91)</f>
        <v/>
      </c>
      <c r="R16" s="19">
        <f>CHOOSE(R6,Assumptions!$F$89,Assumptions!$F$90,Assumptions!$F$91)</f>
        <v/>
      </c>
      <c r="S16" s="19">
        <f>CHOOSE(S6,Assumptions!$F$89,Assumptions!$F$90,Assumptions!$F$91)</f>
        <v/>
      </c>
      <c r="T16" s="19">
        <f>CHOOSE(T6,Assumptions!$F$89,Assumptions!$F$90,Assumptions!$F$91)</f>
        <v/>
      </c>
      <c r="U16" s="19">
        <f>CHOOSE(U6,Assumptions!$F$89,Assumptions!$F$90,Assumptions!$F$91)</f>
        <v/>
      </c>
      <c r="V16" s="19">
        <f>CHOOSE(V6,Assumptions!$F$89,Assumptions!$F$90,Assumptions!$F$91)</f>
        <v/>
      </c>
      <c r="W16" s="19">
        <f>CHOOSE(W6,Assumptions!$F$89,Assumptions!$F$90,Assumptions!$F$91)</f>
        <v/>
      </c>
      <c r="X16" s="19">
        <f>CHOOSE(X6,Assumptions!$F$89,Assumptions!$F$90,Assumptions!$F$91)</f>
        <v/>
      </c>
      <c r="Y16" s="19">
        <f>CHOOSE(Y6,Assumptions!$F$89,Assumptions!$F$90,Assumptions!$F$91)</f>
        <v/>
      </c>
      <c r="Z16" s="19">
        <f>CHOOSE(Z6,Assumptions!$F$89,Assumptions!$F$90,Assumptions!$F$91)</f>
        <v/>
      </c>
      <c r="AA16" s="19">
        <f>CHOOSE(AA6,Assumptions!$F$89,Assumptions!$F$90,Assumptions!$F$91)</f>
        <v/>
      </c>
      <c r="AB16" s="19">
        <f>CHOOSE(AB6,Assumptions!$F$89,Assumptions!$F$90,Assumptions!$F$91)</f>
        <v/>
      </c>
      <c r="AC16" s="19">
        <f>CHOOSE(AC6,Assumptions!$F$89,Assumptions!$F$90,Assumptions!$F$91)</f>
        <v/>
      </c>
      <c r="AD16" s="19">
        <f>CHOOSE(AD6,Assumptions!$F$89,Assumptions!$F$90,Assumptions!$F$91)</f>
        <v/>
      </c>
      <c r="AE16" s="19">
        <f>CHOOSE(AE6,Assumptions!$F$89,Assumptions!$F$90,Assumptions!$F$91)</f>
        <v/>
      </c>
      <c r="AF16" s="19">
        <f>CHOOSE(AF6,Assumptions!$F$89,Assumptions!$F$90,Assumptions!$F$91)</f>
        <v/>
      </c>
      <c r="AG16" s="19">
        <f>CHOOSE(AG6,Assumptions!$F$89,Assumptions!$F$90,Assumptions!$F$91)</f>
        <v/>
      </c>
      <c r="AH16" s="19">
        <f>CHOOSE(AH6,Assumptions!$F$89,Assumptions!$F$90,Assumptions!$F$91)</f>
        <v/>
      </c>
      <c r="AI16" s="19">
        <f>CHOOSE(AI6,Assumptions!$F$89,Assumptions!$F$90,Assumptions!$F$91)</f>
        <v/>
      </c>
      <c r="AJ16" s="19">
        <f>CHOOSE(AJ6,Assumptions!$F$89,Assumptions!$F$90,Assumptions!$F$91)</f>
        <v/>
      </c>
      <c r="AK16" s="19">
        <f>CHOOSE(AK6,Assumptions!$F$89,Assumptions!$F$90,Assumptions!$F$91)</f>
        <v/>
      </c>
      <c r="AL16" s="19">
        <f>CHOOSE(AL6,Assumptions!$F$89,Assumptions!$F$90,Assumptions!$F$91)</f>
        <v/>
      </c>
      <c r="AN16" s="19">
        <f>SUMIF($C$5:$AL$5,AN$5,C16:AL16)</f>
        <v/>
      </c>
      <c r="AO16" s="19">
        <f>SUMIF($C$5:$AL$5,AO$5,C16:AL16)</f>
        <v/>
      </c>
      <c r="AP16" s="19">
        <f>SUMIF($C$5:$AL$5,AP$5,C16:AL16)</f>
        <v/>
      </c>
      <c r="AQ16" s="19">
        <f>SUM(C16:AL16)</f>
        <v/>
      </c>
    </row>
    <row r="17">
      <c r="A17" s="22" t="inlineStr">
        <is>
          <t>Technology (cloud, hosting, messaging, tooling)</t>
        </is>
      </c>
      <c r="B17" s="4" t="inlineStr"/>
      <c r="C17" s="19">
        <f>CHOOSE(C6,Assumptions!$F$92,Assumptions!$F$93,Assumptions!$F$94)</f>
        <v/>
      </c>
      <c r="D17" s="19">
        <f>CHOOSE(D6,Assumptions!$F$92,Assumptions!$F$93,Assumptions!$F$94)</f>
        <v/>
      </c>
      <c r="E17" s="19">
        <f>CHOOSE(E6,Assumptions!$F$92,Assumptions!$F$93,Assumptions!$F$94)</f>
        <v/>
      </c>
      <c r="F17" s="19">
        <f>CHOOSE(F6,Assumptions!$F$92,Assumptions!$F$93,Assumptions!$F$94)</f>
        <v/>
      </c>
      <c r="G17" s="19">
        <f>CHOOSE(G6,Assumptions!$F$92,Assumptions!$F$93,Assumptions!$F$94)</f>
        <v/>
      </c>
      <c r="H17" s="19">
        <f>CHOOSE(H6,Assumptions!$F$92,Assumptions!$F$93,Assumptions!$F$94)</f>
        <v/>
      </c>
      <c r="I17" s="19">
        <f>CHOOSE(I6,Assumptions!$F$92,Assumptions!$F$93,Assumptions!$F$94)</f>
        <v/>
      </c>
      <c r="J17" s="19">
        <f>CHOOSE(J6,Assumptions!$F$92,Assumptions!$F$93,Assumptions!$F$94)</f>
        <v/>
      </c>
      <c r="K17" s="19">
        <f>CHOOSE(K6,Assumptions!$F$92,Assumptions!$F$93,Assumptions!$F$94)</f>
        <v/>
      </c>
      <c r="L17" s="19">
        <f>CHOOSE(L6,Assumptions!$F$92,Assumptions!$F$93,Assumptions!$F$94)</f>
        <v/>
      </c>
      <c r="M17" s="19">
        <f>CHOOSE(M6,Assumptions!$F$92,Assumptions!$F$93,Assumptions!$F$94)</f>
        <v/>
      </c>
      <c r="N17" s="19">
        <f>CHOOSE(N6,Assumptions!$F$92,Assumptions!$F$93,Assumptions!$F$94)</f>
        <v/>
      </c>
      <c r="O17" s="19">
        <f>CHOOSE(O6,Assumptions!$F$92,Assumptions!$F$93,Assumptions!$F$94)</f>
        <v/>
      </c>
      <c r="P17" s="19">
        <f>CHOOSE(P6,Assumptions!$F$92,Assumptions!$F$93,Assumptions!$F$94)</f>
        <v/>
      </c>
      <c r="Q17" s="19">
        <f>CHOOSE(Q6,Assumptions!$F$92,Assumptions!$F$93,Assumptions!$F$94)</f>
        <v/>
      </c>
      <c r="R17" s="19">
        <f>CHOOSE(R6,Assumptions!$F$92,Assumptions!$F$93,Assumptions!$F$94)</f>
        <v/>
      </c>
      <c r="S17" s="19">
        <f>CHOOSE(S6,Assumptions!$F$92,Assumptions!$F$93,Assumptions!$F$94)</f>
        <v/>
      </c>
      <c r="T17" s="19">
        <f>CHOOSE(T6,Assumptions!$F$92,Assumptions!$F$93,Assumptions!$F$94)</f>
        <v/>
      </c>
      <c r="U17" s="19">
        <f>CHOOSE(U6,Assumptions!$F$92,Assumptions!$F$93,Assumptions!$F$94)</f>
        <v/>
      </c>
      <c r="V17" s="19">
        <f>CHOOSE(V6,Assumptions!$F$92,Assumptions!$F$93,Assumptions!$F$94)</f>
        <v/>
      </c>
      <c r="W17" s="19">
        <f>CHOOSE(W6,Assumptions!$F$92,Assumptions!$F$93,Assumptions!$F$94)</f>
        <v/>
      </c>
      <c r="X17" s="19">
        <f>CHOOSE(X6,Assumptions!$F$92,Assumptions!$F$93,Assumptions!$F$94)</f>
        <v/>
      </c>
      <c r="Y17" s="19">
        <f>CHOOSE(Y6,Assumptions!$F$92,Assumptions!$F$93,Assumptions!$F$94)</f>
        <v/>
      </c>
      <c r="Z17" s="19">
        <f>CHOOSE(Z6,Assumptions!$F$92,Assumptions!$F$93,Assumptions!$F$94)</f>
        <v/>
      </c>
      <c r="AA17" s="19">
        <f>CHOOSE(AA6,Assumptions!$F$92,Assumptions!$F$93,Assumptions!$F$94)</f>
        <v/>
      </c>
      <c r="AB17" s="19">
        <f>CHOOSE(AB6,Assumptions!$F$92,Assumptions!$F$93,Assumptions!$F$94)</f>
        <v/>
      </c>
      <c r="AC17" s="19">
        <f>CHOOSE(AC6,Assumptions!$F$92,Assumptions!$F$93,Assumptions!$F$94)</f>
        <v/>
      </c>
      <c r="AD17" s="19">
        <f>CHOOSE(AD6,Assumptions!$F$92,Assumptions!$F$93,Assumptions!$F$94)</f>
        <v/>
      </c>
      <c r="AE17" s="19">
        <f>CHOOSE(AE6,Assumptions!$F$92,Assumptions!$F$93,Assumptions!$F$94)</f>
        <v/>
      </c>
      <c r="AF17" s="19">
        <f>CHOOSE(AF6,Assumptions!$F$92,Assumptions!$F$93,Assumptions!$F$94)</f>
        <v/>
      </c>
      <c r="AG17" s="19">
        <f>CHOOSE(AG6,Assumptions!$F$92,Assumptions!$F$93,Assumptions!$F$94)</f>
        <v/>
      </c>
      <c r="AH17" s="19">
        <f>CHOOSE(AH6,Assumptions!$F$92,Assumptions!$F$93,Assumptions!$F$94)</f>
        <v/>
      </c>
      <c r="AI17" s="19">
        <f>CHOOSE(AI6,Assumptions!$F$92,Assumptions!$F$93,Assumptions!$F$94)</f>
        <v/>
      </c>
      <c r="AJ17" s="19">
        <f>CHOOSE(AJ6,Assumptions!$F$92,Assumptions!$F$93,Assumptions!$F$94)</f>
        <v/>
      </c>
      <c r="AK17" s="19">
        <f>CHOOSE(AK6,Assumptions!$F$92,Assumptions!$F$93,Assumptions!$F$94)</f>
        <v/>
      </c>
      <c r="AL17" s="19">
        <f>CHOOSE(AL6,Assumptions!$F$92,Assumptions!$F$93,Assumptions!$F$94)</f>
        <v/>
      </c>
      <c r="AN17" s="19">
        <f>SUMIF($C$5:$AL$5,AN$5,C17:AL17)</f>
        <v/>
      </c>
      <c r="AO17" s="19">
        <f>SUMIF($C$5:$AL$5,AO$5,C17:AL17)</f>
        <v/>
      </c>
      <c r="AP17" s="19">
        <f>SUMIF($C$5:$AL$5,AP$5,C17:AL17)</f>
        <v/>
      </c>
      <c r="AQ17" s="19">
        <f>SUM(C17:AL17)</f>
        <v/>
      </c>
    </row>
    <row r="18">
      <c r="A18" s="22" t="inlineStr">
        <is>
          <t>Marketing (content, events, paid tests, demand generation)</t>
        </is>
      </c>
      <c r="B18" s="4" t="inlineStr"/>
      <c r="C18" s="19">
        <f>CHOOSE(C6,Assumptions!$F$95,Assumptions!$F$96,Assumptions!$F$97)</f>
        <v/>
      </c>
      <c r="D18" s="19">
        <f>CHOOSE(D6,Assumptions!$F$95,Assumptions!$F$96,Assumptions!$F$97)</f>
        <v/>
      </c>
      <c r="E18" s="19">
        <f>CHOOSE(E6,Assumptions!$F$95,Assumptions!$F$96,Assumptions!$F$97)</f>
        <v/>
      </c>
      <c r="F18" s="19">
        <f>CHOOSE(F6,Assumptions!$F$95,Assumptions!$F$96,Assumptions!$F$97)</f>
        <v/>
      </c>
      <c r="G18" s="19">
        <f>CHOOSE(G6,Assumptions!$F$95,Assumptions!$F$96,Assumptions!$F$97)</f>
        <v/>
      </c>
      <c r="H18" s="19">
        <f>CHOOSE(H6,Assumptions!$F$95,Assumptions!$F$96,Assumptions!$F$97)</f>
        <v/>
      </c>
      <c r="I18" s="19">
        <f>CHOOSE(I6,Assumptions!$F$95,Assumptions!$F$96,Assumptions!$F$97)</f>
        <v/>
      </c>
      <c r="J18" s="19">
        <f>CHOOSE(J6,Assumptions!$F$95,Assumptions!$F$96,Assumptions!$F$97)</f>
        <v/>
      </c>
      <c r="K18" s="19">
        <f>CHOOSE(K6,Assumptions!$F$95,Assumptions!$F$96,Assumptions!$F$97)</f>
        <v/>
      </c>
      <c r="L18" s="19">
        <f>CHOOSE(L6,Assumptions!$F$95,Assumptions!$F$96,Assumptions!$F$97)</f>
        <v/>
      </c>
      <c r="M18" s="19">
        <f>CHOOSE(M6,Assumptions!$F$95,Assumptions!$F$96,Assumptions!$F$97)</f>
        <v/>
      </c>
      <c r="N18" s="19">
        <f>CHOOSE(N6,Assumptions!$F$95,Assumptions!$F$96,Assumptions!$F$97)</f>
        <v/>
      </c>
      <c r="O18" s="19">
        <f>CHOOSE(O6,Assumptions!$F$95,Assumptions!$F$96,Assumptions!$F$97)</f>
        <v/>
      </c>
      <c r="P18" s="19">
        <f>CHOOSE(P6,Assumptions!$F$95,Assumptions!$F$96,Assumptions!$F$97)</f>
        <v/>
      </c>
      <c r="Q18" s="19">
        <f>CHOOSE(Q6,Assumptions!$F$95,Assumptions!$F$96,Assumptions!$F$97)</f>
        <v/>
      </c>
      <c r="R18" s="19">
        <f>CHOOSE(R6,Assumptions!$F$95,Assumptions!$F$96,Assumptions!$F$97)</f>
        <v/>
      </c>
      <c r="S18" s="19">
        <f>CHOOSE(S6,Assumptions!$F$95,Assumptions!$F$96,Assumptions!$F$97)</f>
        <v/>
      </c>
      <c r="T18" s="19">
        <f>CHOOSE(T6,Assumptions!$F$95,Assumptions!$F$96,Assumptions!$F$97)</f>
        <v/>
      </c>
      <c r="U18" s="19">
        <f>CHOOSE(U6,Assumptions!$F$95,Assumptions!$F$96,Assumptions!$F$97)</f>
        <v/>
      </c>
      <c r="V18" s="19">
        <f>CHOOSE(V6,Assumptions!$F$95,Assumptions!$F$96,Assumptions!$F$97)</f>
        <v/>
      </c>
      <c r="W18" s="19">
        <f>CHOOSE(W6,Assumptions!$F$95,Assumptions!$F$96,Assumptions!$F$97)</f>
        <v/>
      </c>
      <c r="X18" s="19">
        <f>CHOOSE(X6,Assumptions!$F$95,Assumptions!$F$96,Assumptions!$F$97)</f>
        <v/>
      </c>
      <c r="Y18" s="19">
        <f>CHOOSE(Y6,Assumptions!$F$95,Assumptions!$F$96,Assumptions!$F$97)</f>
        <v/>
      </c>
      <c r="Z18" s="19">
        <f>CHOOSE(Z6,Assumptions!$F$95,Assumptions!$F$96,Assumptions!$F$97)</f>
        <v/>
      </c>
      <c r="AA18" s="19">
        <f>CHOOSE(AA6,Assumptions!$F$95,Assumptions!$F$96,Assumptions!$F$97)</f>
        <v/>
      </c>
      <c r="AB18" s="19">
        <f>CHOOSE(AB6,Assumptions!$F$95,Assumptions!$F$96,Assumptions!$F$97)</f>
        <v/>
      </c>
      <c r="AC18" s="19">
        <f>CHOOSE(AC6,Assumptions!$F$95,Assumptions!$F$96,Assumptions!$F$97)</f>
        <v/>
      </c>
      <c r="AD18" s="19">
        <f>CHOOSE(AD6,Assumptions!$F$95,Assumptions!$F$96,Assumptions!$F$97)</f>
        <v/>
      </c>
      <c r="AE18" s="19">
        <f>CHOOSE(AE6,Assumptions!$F$95,Assumptions!$F$96,Assumptions!$F$97)</f>
        <v/>
      </c>
      <c r="AF18" s="19">
        <f>CHOOSE(AF6,Assumptions!$F$95,Assumptions!$F$96,Assumptions!$F$97)</f>
        <v/>
      </c>
      <c r="AG18" s="19">
        <f>CHOOSE(AG6,Assumptions!$F$95,Assumptions!$F$96,Assumptions!$F$97)</f>
        <v/>
      </c>
      <c r="AH18" s="19">
        <f>CHOOSE(AH6,Assumptions!$F$95,Assumptions!$F$96,Assumptions!$F$97)</f>
        <v/>
      </c>
      <c r="AI18" s="19">
        <f>CHOOSE(AI6,Assumptions!$F$95,Assumptions!$F$96,Assumptions!$F$97)</f>
        <v/>
      </c>
      <c r="AJ18" s="19">
        <f>CHOOSE(AJ6,Assumptions!$F$95,Assumptions!$F$96,Assumptions!$F$97)</f>
        <v/>
      </c>
      <c r="AK18" s="19">
        <f>CHOOSE(AK6,Assumptions!$F$95,Assumptions!$F$96,Assumptions!$F$97)</f>
        <v/>
      </c>
      <c r="AL18" s="19">
        <f>CHOOSE(AL6,Assumptions!$F$95,Assumptions!$F$96,Assumptions!$F$97)</f>
        <v/>
      </c>
      <c r="AN18" s="19">
        <f>SUMIF($C$5:$AL$5,AN$5,C18:AL18)</f>
        <v/>
      </c>
      <c r="AO18" s="19">
        <f>SUMIF($C$5:$AL$5,AO$5,C18:AL18)</f>
        <v/>
      </c>
      <c r="AP18" s="19">
        <f>SUMIF($C$5:$AL$5,AP$5,C18:AL18)</f>
        <v/>
      </c>
      <c r="AQ18" s="19">
        <f>SUM(C18:AL18)</f>
        <v/>
      </c>
    </row>
    <row r="19">
      <c r="A19" s="22" t="inlineStr">
        <is>
          <t>Legal (ongoing contracts, IP, employment)</t>
        </is>
      </c>
      <c r="B19" s="4" t="inlineStr"/>
      <c r="C19" s="19">
        <f>CHOOSE(C6,Assumptions!$F$98,Assumptions!$F$99,Assumptions!$F$100)</f>
        <v/>
      </c>
      <c r="D19" s="19">
        <f>CHOOSE(D6,Assumptions!$F$98,Assumptions!$F$99,Assumptions!$F$100)</f>
        <v/>
      </c>
      <c r="E19" s="19">
        <f>CHOOSE(E6,Assumptions!$F$98,Assumptions!$F$99,Assumptions!$F$100)</f>
        <v/>
      </c>
      <c r="F19" s="19">
        <f>CHOOSE(F6,Assumptions!$F$98,Assumptions!$F$99,Assumptions!$F$100)</f>
        <v/>
      </c>
      <c r="G19" s="19">
        <f>CHOOSE(G6,Assumptions!$F$98,Assumptions!$F$99,Assumptions!$F$100)</f>
        <v/>
      </c>
      <c r="H19" s="19">
        <f>CHOOSE(H6,Assumptions!$F$98,Assumptions!$F$99,Assumptions!$F$100)</f>
        <v/>
      </c>
      <c r="I19" s="19">
        <f>CHOOSE(I6,Assumptions!$F$98,Assumptions!$F$99,Assumptions!$F$100)</f>
        <v/>
      </c>
      <c r="J19" s="19">
        <f>CHOOSE(J6,Assumptions!$F$98,Assumptions!$F$99,Assumptions!$F$100)</f>
        <v/>
      </c>
      <c r="K19" s="19">
        <f>CHOOSE(K6,Assumptions!$F$98,Assumptions!$F$99,Assumptions!$F$100)</f>
        <v/>
      </c>
      <c r="L19" s="19">
        <f>CHOOSE(L6,Assumptions!$F$98,Assumptions!$F$99,Assumptions!$F$100)</f>
        <v/>
      </c>
      <c r="M19" s="19">
        <f>CHOOSE(M6,Assumptions!$F$98,Assumptions!$F$99,Assumptions!$F$100)</f>
        <v/>
      </c>
      <c r="N19" s="19">
        <f>CHOOSE(N6,Assumptions!$F$98,Assumptions!$F$99,Assumptions!$F$100)</f>
        <v/>
      </c>
      <c r="O19" s="19">
        <f>CHOOSE(O6,Assumptions!$F$98,Assumptions!$F$99,Assumptions!$F$100)</f>
        <v/>
      </c>
      <c r="P19" s="19">
        <f>CHOOSE(P6,Assumptions!$F$98,Assumptions!$F$99,Assumptions!$F$100)</f>
        <v/>
      </c>
      <c r="Q19" s="19">
        <f>CHOOSE(Q6,Assumptions!$F$98,Assumptions!$F$99,Assumptions!$F$100)</f>
        <v/>
      </c>
      <c r="R19" s="19">
        <f>CHOOSE(R6,Assumptions!$F$98,Assumptions!$F$99,Assumptions!$F$100)</f>
        <v/>
      </c>
      <c r="S19" s="19">
        <f>CHOOSE(S6,Assumptions!$F$98,Assumptions!$F$99,Assumptions!$F$100)</f>
        <v/>
      </c>
      <c r="T19" s="19">
        <f>CHOOSE(T6,Assumptions!$F$98,Assumptions!$F$99,Assumptions!$F$100)</f>
        <v/>
      </c>
      <c r="U19" s="19">
        <f>CHOOSE(U6,Assumptions!$F$98,Assumptions!$F$99,Assumptions!$F$100)</f>
        <v/>
      </c>
      <c r="V19" s="19">
        <f>CHOOSE(V6,Assumptions!$F$98,Assumptions!$F$99,Assumptions!$F$100)</f>
        <v/>
      </c>
      <c r="W19" s="19">
        <f>CHOOSE(W6,Assumptions!$F$98,Assumptions!$F$99,Assumptions!$F$100)</f>
        <v/>
      </c>
      <c r="X19" s="19">
        <f>CHOOSE(X6,Assumptions!$F$98,Assumptions!$F$99,Assumptions!$F$100)</f>
        <v/>
      </c>
      <c r="Y19" s="19">
        <f>CHOOSE(Y6,Assumptions!$F$98,Assumptions!$F$99,Assumptions!$F$100)</f>
        <v/>
      </c>
      <c r="Z19" s="19">
        <f>CHOOSE(Z6,Assumptions!$F$98,Assumptions!$F$99,Assumptions!$F$100)</f>
        <v/>
      </c>
      <c r="AA19" s="19">
        <f>CHOOSE(AA6,Assumptions!$F$98,Assumptions!$F$99,Assumptions!$F$100)</f>
        <v/>
      </c>
      <c r="AB19" s="19">
        <f>CHOOSE(AB6,Assumptions!$F$98,Assumptions!$F$99,Assumptions!$F$100)</f>
        <v/>
      </c>
      <c r="AC19" s="19">
        <f>CHOOSE(AC6,Assumptions!$F$98,Assumptions!$F$99,Assumptions!$F$100)</f>
        <v/>
      </c>
      <c r="AD19" s="19">
        <f>CHOOSE(AD6,Assumptions!$F$98,Assumptions!$F$99,Assumptions!$F$100)</f>
        <v/>
      </c>
      <c r="AE19" s="19">
        <f>CHOOSE(AE6,Assumptions!$F$98,Assumptions!$F$99,Assumptions!$F$100)</f>
        <v/>
      </c>
      <c r="AF19" s="19">
        <f>CHOOSE(AF6,Assumptions!$F$98,Assumptions!$F$99,Assumptions!$F$100)</f>
        <v/>
      </c>
      <c r="AG19" s="19">
        <f>CHOOSE(AG6,Assumptions!$F$98,Assumptions!$F$99,Assumptions!$F$100)</f>
        <v/>
      </c>
      <c r="AH19" s="19">
        <f>CHOOSE(AH6,Assumptions!$F$98,Assumptions!$F$99,Assumptions!$F$100)</f>
        <v/>
      </c>
      <c r="AI19" s="19">
        <f>CHOOSE(AI6,Assumptions!$F$98,Assumptions!$F$99,Assumptions!$F$100)</f>
        <v/>
      </c>
      <c r="AJ19" s="19">
        <f>CHOOSE(AJ6,Assumptions!$F$98,Assumptions!$F$99,Assumptions!$F$100)</f>
        <v/>
      </c>
      <c r="AK19" s="19">
        <f>CHOOSE(AK6,Assumptions!$F$98,Assumptions!$F$99,Assumptions!$F$100)</f>
        <v/>
      </c>
      <c r="AL19" s="19">
        <f>CHOOSE(AL6,Assumptions!$F$98,Assumptions!$F$99,Assumptions!$F$100)</f>
        <v/>
      </c>
      <c r="AN19" s="19">
        <f>SUMIF($C$5:$AL$5,AN$5,C19:AL19)</f>
        <v/>
      </c>
      <c r="AO19" s="19">
        <f>SUMIF($C$5:$AL$5,AO$5,C19:AL19)</f>
        <v/>
      </c>
      <c r="AP19" s="19">
        <f>SUMIF($C$5:$AL$5,AP$5,C19:AL19)</f>
        <v/>
      </c>
      <c r="AQ19" s="19">
        <f>SUM(C19:AL19)</f>
        <v/>
      </c>
    </row>
    <row r="20">
      <c r="A20" s="22" t="inlineStr">
        <is>
          <t>Compliance &amp; regulatory (ICO, Cyber Essentials, DTAC/DSPT, clinical safety)</t>
        </is>
      </c>
      <c r="B20" s="4" t="inlineStr"/>
      <c r="C20" s="19">
        <f>CHOOSE(C6,Assumptions!$F$101,Assumptions!$F$102,Assumptions!$F$103)</f>
        <v/>
      </c>
      <c r="D20" s="19">
        <f>CHOOSE(D6,Assumptions!$F$101,Assumptions!$F$102,Assumptions!$F$103)</f>
        <v/>
      </c>
      <c r="E20" s="19">
        <f>CHOOSE(E6,Assumptions!$F$101,Assumptions!$F$102,Assumptions!$F$103)</f>
        <v/>
      </c>
      <c r="F20" s="19">
        <f>CHOOSE(F6,Assumptions!$F$101,Assumptions!$F$102,Assumptions!$F$103)</f>
        <v/>
      </c>
      <c r="G20" s="19">
        <f>CHOOSE(G6,Assumptions!$F$101,Assumptions!$F$102,Assumptions!$F$103)</f>
        <v/>
      </c>
      <c r="H20" s="19">
        <f>CHOOSE(H6,Assumptions!$F$101,Assumptions!$F$102,Assumptions!$F$103)</f>
        <v/>
      </c>
      <c r="I20" s="19">
        <f>CHOOSE(I6,Assumptions!$F$101,Assumptions!$F$102,Assumptions!$F$103)</f>
        <v/>
      </c>
      <c r="J20" s="19">
        <f>CHOOSE(J6,Assumptions!$F$101,Assumptions!$F$102,Assumptions!$F$103)</f>
        <v/>
      </c>
      <c r="K20" s="19">
        <f>CHOOSE(K6,Assumptions!$F$101,Assumptions!$F$102,Assumptions!$F$103)</f>
        <v/>
      </c>
      <c r="L20" s="19">
        <f>CHOOSE(L6,Assumptions!$F$101,Assumptions!$F$102,Assumptions!$F$103)</f>
        <v/>
      </c>
      <c r="M20" s="19">
        <f>CHOOSE(M6,Assumptions!$F$101,Assumptions!$F$102,Assumptions!$F$103)</f>
        <v/>
      </c>
      <c r="N20" s="19">
        <f>CHOOSE(N6,Assumptions!$F$101,Assumptions!$F$102,Assumptions!$F$103)</f>
        <v/>
      </c>
      <c r="O20" s="19">
        <f>CHOOSE(O6,Assumptions!$F$101,Assumptions!$F$102,Assumptions!$F$103)</f>
        <v/>
      </c>
      <c r="P20" s="19">
        <f>CHOOSE(P6,Assumptions!$F$101,Assumptions!$F$102,Assumptions!$F$103)</f>
        <v/>
      </c>
      <c r="Q20" s="19">
        <f>CHOOSE(Q6,Assumptions!$F$101,Assumptions!$F$102,Assumptions!$F$103)</f>
        <v/>
      </c>
      <c r="R20" s="19">
        <f>CHOOSE(R6,Assumptions!$F$101,Assumptions!$F$102,Assumptions!$F$103)</f>
        <v/>
      </c>
      <c r="S20" s="19">
        <f>CHOOSE(S6,Assumptions!$F$101,Assumptions!$F$102,Assumptions!$F$103)</f>
        <v/>
      </c>
      <c r="T20" s="19">
        <f>CHOOSE(T6,Assumptions!$F$101,Assumptions!$F$102,Assumptions!$F$103)</f>
        <v/>
      </c>
      <c r="U20" s="19">
        <f>CHOOSE(U6,Assumptions!$F$101,Assumptions!$F$102,Assumptions!$F$103)</f>
        <v/>
      </c>
      <c r="V20" s="19">
        <f>CHOOSE(V6,Assumptions!$F$101,Assumptions!$F$102,Assumptions!$F$103)</f>
        <v/>
      </c>
      <c r="W20" s="19">
        <f>CHOOSE(W6,Assumptions!$F$101,Assumptions!$F$102,Assumptions!$F$103)</f>
        <v/>
      </c>
      <c r="X20" s="19">
        <f>CHOOSE(X6,Assumptions!$F$101,Assumptions!$F$102,Assumptions!$F$103)</f>
        <v/>
      </c>
      <c r="Y20" s="19">
        <f>CHOOSE(Y6,Assumptions!$F$101,Assumptions!$F$102,Assumptions!$F$103)</f>
        <v/>
      </c>
      <c r="Z20" s="19">
        <f>CHOOSE(Z6,Assumptions!$F$101,Assumptions!$F$102,Assumptions!$F$103)</f>
        <v/>
      </c>
      <c r="AA20" s="19">
        <f>CHOOSE(AA6,Assumptions!$F$101,Assumptions!$F$102,Assumptions!$F$103)</f>
        <v/>
      </c>
      <c r="AB20" s="19">
        <f>CHOOSE(AB6,Assumptions!$F$101,Assumptions!$F$102,Assumptions!$F$103)</f>
        <v/>
      </c>
      <c r="AC20" s="19">
        <f>CHOOSE(AC6,Assumptions!$F$101,Assumptions!$F$102,Assumptions!$F$103)</f>
        <v/>
      </c>
      <c r="AD20" s="19">
        <f>CHOOSE(AD6,Assumptions!$F$101,Assumptions!$F$102,Assumptions!$F$103)</f>
        <v/>
      </c>
      <c r="AE20" s="19">
        <f>CHOOSE(AE6,Assumptions!$F$101,Assumptions!$F$102,Assumptions!$F$103)</f>
        <v/>
      </c>
      <c r="AF20" s="19">
        <f>CHOOSE(AF6,Assumptions!$F$101,Assumptions!$F$102,Assumptions!$F$103)</f>
        <v/>
      </c>
      <c r="AG20" s="19">
        <f>CHOOSE(AG6,Assumptions!$F$101,Assumptions!$F$102,Assumptions!$F$103)</f>
        <v/>
      </c>
      <c r="AH20" s="19">
        <f>CHOOSE(AH6,Assumptions!$F$101,Assumptions!$F$102,Assumptions!$F$103)</f>
        <v/>
      </c>
      <c r="AI20" s="19">
        <f>CHOOSE(AI6,Assumptions!$F$101,Assumptions!$F$102,Assumptions!$F$103)</f>
        <v/>
      </c>
      <c r="AJ20" s="19">
        <f>CHOOSE(AJ6,Assumptions!$F$101,Assumptions!$F$102,Assumptions!$F$103)</f>
        <v/>
      </c>
      <c r="AK20" s="19">
        <f>CHOOSE(AK6,Assumptions!$F$101,Assumptions!$F$102,Assumptions!$F$103)</f>
        <v/>
      </c>
      <c r="AL20" s="19">
        <f>CHOOSE(AL6,Assumptions!$F$101,Assumptions!$F$102,Assumptions!$F$103)</f>
        <v/>
      </c>
      <c r="AN20" s="19">
        <f>SUMIF($C$5:$AL$5,AN$5,C20:AL20)</f>
        <v/>
      </c>
      <c r="AO20" s="19">
        <f>SUMIF($C$5:$AL$5,AO$5,C20:AL20)</f>
        <v/>
      </c>
      <c r="AP20" s="19">
        <f>SUMIF($C$5:$AL$5,AP$5,C20:AL20)</f>
        <v/>
      </c>
      <c r="AQ20" s="19">
        <f>SUM(C20:AL20)</f>
        <v/>
      </c>
    </row>
    <row r="21">
      <c r="A21" s="22" t="inlineStr">
        <is>
          <t>Insurance (PI, PL, D&amp;O, cyber)</t>
        </is>
      </c>
      <c r="B21" s="4" t="inlineStr"/>
      <c r="C21" s="19">
        <f>CHOOSE(C6,Assumptions!$F$104,Assumptions!$F$105,Assumptions!$F$106)</f>
        <v/>
      </c>
      <c r="D21" s="19">
        <f>CHOOSE(D6,Assumptions!$F$104,Assumptions!$F$105,Assumptions!$F$106)</f>
        <v/>
      </c>
      <c r="E21" s="19">
        <f>CHOOSE(E6,Assumptions!$F$104,Assumptions!$F$105,Assumptions!$F$106)</f>
        <v/>
      </c>
      <c r="F21" s="19">
        <f>CHOOSE(F6,Assumptions!$F$104,Assumptions!$F$105,Assumptions!$F$106)</f>
        <v/>
      </c>
      <c r="G21" s="19">
        <f>CHOOSE(G6,Assumptions!$F$104,Assumptions!$F$105,Assumptions!$F$106)</f>
        <v/>
      </c>
      <c r="H21" s="19">
        <f>CHOOSE(H6,Assumptions!$F$104,Assumptions!$F$105,Assumptions!$F$106)</f>
        <v/>
      </c>
      <c r="I21" s="19">
        <f>CHOOSE(I6,Assumptions!$F$104,Assumptions!$F$105,Assumptions!$F$106)</f>
        <v/>
      </c>
      <c r="J21" s="19">
        <f>CHOOSE(J6,Assumptions!$F$104,Assumptions!$F$105,Assumptions!$F$106)</f>
        <v/>
      </c>
      <c r="K21" s="19">
        <f>CHOOSE(K6,Assumptions!$F$104,Assumptions!$F$105,Assumptions!$F$106)</f>
        <v/>
      </c>
      <c r="L21" s="19">
        <f>CHOOSE(L6,Assumptions!$F$104,Assumptions!$F$105,Assumptions!$F$106)</f>
        <v/>
      </c>
      <c r="M21" s="19">
        <f>CHOOSE(M6,Assumptions!$F$104,Assumptions!$F$105,Assumptions!$F$106)</f>
        <v/>
      </c>
      <c r="N21" s="19">
        <f>CHOOSE(N6,Assumptions!$F$104,Assumptions!$F$105,Assumptions!$F$106)</f>
        <v/>
      </c>
      <c r="O21" s="19">
        <f>CHOOSE(O6,Assumptions!$F$104,Assumptions!$F$105,Assumptions!$F$106)</f>
        <v/>
      </c>
      <c r="P21" s="19">
        <f>CHOOSE(P6,Assumptions!$F$104,Assumptions!$F$105,Assumptions!$F$106)</f>
        <v/>
      </c>
      <c r="Q21" s="19">
        <f>CHOOSE(Q6,Assumptions!$F$104,Assumptions!$F$105,Assumptions!$F$106)</f>
        <v/>
      </c>
      <c r="R21" s="19">
        <f>CHOOSE(R6,Assumptions!$F$104,Assumptions!$F$105,Assumptions!$F$106)</f>
        <v/>
      </c>
      <c r="S21" s="19">
        <f>CHOOSE(S6,Assumptions!$F$104,Assumptions!$F$105,Assumptions!$F$106)</f>
        <v/>
      </c>
      <c r="T21" s="19">
        <f>CHOOSE(T6,Assumptions!$F$104,Assumptions!$F$105,Assumptions!$F$106)</f>
        <v/>
      </c>
      <c r="U21" s="19">
        <f>CHOOSE(U6,Assumptions!$F$104,Assumptions!$F$105,Assumptions!$F$106)</f>
        <v/>
      </c>
      <c r="V21" s="19">
        <f>CHOOSE(V6,Assumptions!$F$104,Assumptions!$F$105,Assumptions!$F$106)</f>
        <v/>
      </c>
      <c r="W21" s="19">
        <f>CHOOSE(W6,Assumptions!$F$104,Assumptions!$F$105,Assumptions!$F$106)</f>
        <v/>
      </c>
      <c r="X21" s="19">
        <f>CHOOSE(X6,Assumptions!$F$104,Assumptions!$F$105,Assumptions!$F$106)</f>
        <v/>
      </c>
      <c r="Y21" s="19">
        <f>CHOOSE(Y6,Assumptions!$F$104,Assumptions!$F$105,Assumptions!$F$106)</f>
        <v/>
      </c>
      <c r="Z21" s="19">
        <f>CHOOSE(Z6,Assumptions!$F$104,Assumptions!$F$105,Assumptions!$F$106)</f>
        <v/>
      </c>
      <c r="AA21" s="19">
        <f>CHOOSE(AA6,Assumptions!$F$104,Assumptions!$F$105,Assumptions!$F$106)</f>
        <v/>
      </c>
      <c r="AB21" s="19">
        <f>CHOOSE(AB6,Assumptions!$F$104,Assumptions!$F$105,Assumptions!$F$106)</f>
        <v/>
      </c>
      <c r="AC21" s="19">
        <f>CHOOSE(AC6,Assumptions!$F$104,Assumptions!$F$105,Assumptions!$F$106)</f>
        <v/>
      </c>
      <c r="AD21" s="19">
        <f>CHOOSE(AD6,Assumptions!$F$104,Assumptions!$F$105,Assumptions!$F$106)</f>
        <v/>
      </c>
      <c r="AE21" s="19">
        <f>CHOOSE(AE6,Assumptions!$F$104,Assumptions!$F$105,Assumptions!$F$106)</f>
        <v/>
      </c>
      <c r="AF21" s="19">
        <f>CHOOSE(AF6,Assumptions!$F$104,Assumptions!$F$105,Assumptions!$F$106)</f>
        <v/>
      </c>
      <c r="AG21" s="19">
        <f>CHOOSE(AG6,Assumptions!$F$104,Assumptions!$F$105,Assumptions!$F$106)</f>
        <v/>
      </c>
      <c r="AH21" s="19">
        <f>CHOOSE(AH6,Assumptions!$F$104,Assumptions!$F$105,Assumptions!$F$106)</f>
        <v/>
      </c>
      <c r="AI21" s="19">
        <f>CHOOSE(AI6,Assumptions!$F$104,Assumptions!$F$105,Assumptions!$F$106)</f>
        <v/>
      </c>
      <c r="AJ21" s="19">
        <f>CHOOSE(AJ6,Assumptions!$F$104,Assumptions!$F$105,Assumptions!$F$106)</f>
        <v/>
      </c>
      <c r="AK21" s="19">
        <f>CHOOSE(AK6,Assumptions!$F$104,Assumptions!$F$105,Assumptions!$F$106)</f>
        <v/>
      </c>
      <c r="AL21" s="19">
        <f>CHOOSE(AL6,Assumptions!$F$104,Assumptions!$F$105,Assumptions!$F$106)</f>
        <v/>
      </c>
      <c r="AN21" s="19">
        <f>SUMIF($C$5:$AL$5,AN$5,C21:AL21)</f>
        <v/>
      </c>
      <c r="AO21" s="19">
        <f>SUMIF($C$5:$AL$5,AO$5,C21:AL21)</f>
        <v/>
      </c>
      <c r="AP21" s="19">
        <f>SUMIF($C$5:$AL$5,AP$5,C21:AL21)</f>
        <v/>
      </c>
      <c r="AQ21" s="19">
        <f>SUM(C21:AL21)</f>
        <v/>
      </c>
    </row>
    <row r="22">
      <c r="A22" s="22" t="inlineStr">
        <is>
          <t>Software subscriptions</t>
        </is>
      </c>
      <c r="B22" s="4" t="inlineStr"/>
      <c r="C22" s="19">
        <f>CHOOSE(C6,Assumptions!$F$107,Assumptions!$F$108,Assumptions!$F$109)</f>
        <v/>
      </c>
      <c r="D22" s="19">
        <f>CHOOSE(D6,Assumptions!$F$107,Assumptions!$F$108,Assumptions!$F$109)</f>
        <v/>
      </c>
      <c r="E22" s="19">
        <f>CHOOSE(E6,Assumptions!$F$107,Assumptions!$F$108,Assumptions!$F$109)</f>
        <v/>
      </c>
      <c r="F22" s="19">
        <f>CHOOSE(F6,Assumptions!$F$107,Assumptions!$F$108,Assumptions!$F$109)</f>
        <v/>
      </c>
      <c r="G22" s="19">
        <f>CHOOSE(G6,Assumptions!$F$107,Assumptions!$F$108,Assumptions!$F$109)</f>
        <v/>
      </c>
      <c r="H22" s="19">
        <f>CHOOSE(H6,Assumptions!$F$107,Assumptions!$F$108,Assumptions!$F$109)</f>
        <v/>
      </c>
      <c r="I22" s="19">
        <f>CHOOSE(I6,Assumptions!$F$107,Assumptions!$F$108,Assumptions!$F$109)</f>
        <v/>
      </c>
      <c r="J22" s="19">
        <f>CHOOSE(J6,Assumptions!$F$107,Assumptions!$F$108,Assumptions!$F$109)</f>
        <v/>
      </c>
      <c r="K22" s="19">
        <f>CHOOSE(K6,Assumptions!$F$107,Assumptions!$F$108,Assumptions!$F$109)</f>
        <v/>
      </c>
      <c r="L22" s="19">
        <f>CHOOSE(L6,Assumptions!$F$107,Assumptions!$F$108,Assumptions!$F$109)</f>
        <v/>
      </c>
      <c r="M22" s="19">
        <f>CHOOSE(M6,Assumptions!$F$107,Assumptions!$F$108,Assumptions!$F$109)</f>
        <v/>
      </c>
      <c r="N22" s="19">
        <f>CHOOSE(N6,Assumptions!$F$107,Assumptions!$F$108,Assumptions!$F$109)</f>
        <v/>
      </c>
      <c r="O22" s="19">
        <f>CHOOSE(O6,Assumptions!$F$107,Assumptions!$F$108,Assumptions!$F$109)</f>
        <v/>
      </c>
      <c r="P22" s="19">
        <f>CHOOSE(P6,Assumptions!$F$107,Assumptions!$F$108,Assumptions!$F$109)</f>
        <v/>
      </c>
      <c r="Q22" s="19">
        <f>CHOOSE(Q6,Assumptions!$F$107,Assumptions!$F$108,Assumptions!$F$109)</f>
        <v/>
      </c>
      <c r="R22" s="19">
        <f>CHOOSE(R6,Assumptions!$F$107,Assumptions!$F$108,Assumptions!$F$109)</f>
        <v/>
      </c>
      <c r="S22" s="19">
        <f>CHOOSE(S6,Assumptions!$F$107,Assumptions!$F$108,Assumptions!$F$109)</f>
        <v/>
      </c>
      <c r="T22" s="19">
        <f>CHOOSE(T6,Assumptions!$F$107,Assumptions!$F$108,Assumptions!$F$109)</f>
        <v/>
      </c>
      <c r="U22" s="19">
        <f>CHOOSE(U6,Assumptions!$F$107,Assumptions!$F$108,Assumptions!$F$109)</f>
        <v/>
      </c>
      <c r="V22" s="19">
        <f>CHOOSE(V6,Assumptions!$F$107,Assumptions!$F$108,Assumptions!$F$109)</f>
        <v/>
      </c>
      <c r="W22" s="19">
        <f>CHOOSE(W6,Assumptions!$F$107,Assumptions!$F$108,Assumptions!$F$109)</f>
        <v/>
      </c>
      <c r="X22" s="19">
        <f>CHOOSE(X6,Assumptions!$F$107,Assumptions!$F$108,Assumptions!$F$109)</f>
        <v/>
      </c>
      <c r="Y22" s="19">
        <f>CHOOSE(Y6,Assumptions!$F$107,Assumptions!$F$108,Assumptions!$F$109)</f>
        <v/>
      </c>
      <c r="Z22" s="19">
        <f>CHOOSE(Z6,Assumptions!$F$107,Assumptions!$F$108,Assumptions!$F$109)</f>
        <v/>
      </c>
      <c r="AA22" s="19">
        <f>CHOOSE(AA6,Assumptions!$F$107,Assumptions!$F$108,Assumptions!$F$109)</f>
        <v/>
      </c>
      <c r="AB22" s="19">
        <f>CHOOSE(AB6,Assumptions!$F$107,Assumptions!$F$108,Assumptions!$F$109)</f>
        <v/>
      </c>
      <c r="AC22" s="19">
        <f>CHOOSE(AC6,Assumptions!$F$107,Assumptions!$F$108,Assumptions!$F$109)</f>
        <v/>
      </c>
      <c r="AD22" s="19">
        <f>CHOOSE(AD6,Assumptions!$F$107,Assumptions!$F$108,Assumptions!$F$109)</f>
        <v/>
      </c>
      <c r="AE22" s="19">
        <f>CHOOSE(AE6,Assumptions!$F$107,Assumptions!$F$108,Assumptions!$F$109)</f>
        <v/>
      </c>
      <c r="AF22" s="19">
        <f>CHOOSE(AF6,Assumptions!$F$107,Assumptions!$F$108,Assumptions!$F$109)</f>
        <v/>
      </c>
      <c r="AG22" s="19">
        <f>CHOOSE(AG6,Assumptions!$F$107,Assumptions!$F$108,Assumptions!$F$109)</f>
        <v/>
      </c>
      <c r="AH22" s="19">
        <f>CHOOSE(AH6,Assumptions!$F$107,Assumptions!$F$108,Assumptions!$F$109)</f>
        <v/>
      </c>
      <c r="AI22" s="19">
        <f>CHOOSE(AI6,Assumptions!$F$107,Assumptions!$F$108,Assumptions!$F$109)</f>
        <v/>
      </c>
      <c r="AJ22" s="19">
        <f>CHOOSE(AJ6,Assumptions!$F$107,Assumptions!$F$108,Assumptions!$F$109)</f>
        <v/>
      </c>
      <c r="AK22" s="19">
        <f>CHOOSE(AK6,Assumptions!$F$107,Assumptions!$F$108,Assumptions!$F$109)</f>
        <v/>
      </c>
      <c r="AL22" s="19">
        <f>CHOOSE(AL6,Assumptions!$F$107,Assumptions!$F$108,Assumptions!$F$109)</f>
        <v/>
      </c>
      <c r="AN22" s="19">
        <f>SUMIF($C$5:$AL$5,AN$5,C22:AL22)</f>
        <v/>
      </c>
      <c r="AO22" s="19">
        <f>SUMIF($C$5:$AL$5,AO$5,C22:AL22)</f>
        <v/>
      </c>
      <c r="AP22" s="19">
        <f>SUMIF($C$5:$AL$5,AP$5,C22:AL22)</f>
        <v/>
      </c>
      <c r="AQ22" s="19">
        <f>SUM(C22:AL22)</f>
        <v/>
      </c>
    </row>
    <row r="23">
      <c r="A23" s="22" t="inlineStr">
        <is>
          <t>Travel (UK and Nigeria)</t>
        </is>
      </c>
      <c r="B23" s="4" t="inlineStr"/>
      <c r="C23" s="19">
        <f>CHOOSE(C6,Assumptions!$F$110,Assumptions!$F$111,Assumptions!$F$112)</f>
        <v/>
      </c>
      <c r="D23" s="19">
        <f>CHOOSE(D6,Assumptions!$F$110,Assumptions!$F$111,Assumptions!$F$112)</f>
        <v/>
      </c>
      <c r="E23" s="19">
        <f>CHOOSE(E6,Assumptions!$F$110,Assumptions!$F$111,Assumptions!$F$112)</f>
        <v/>
      </c>
      <c r="F23" s="19">
        <f>CHOOSE(F6,Assumptions!$F$110,Assumptions!$F$111,Assumptions!$F$112)</f>
        <v/>
      </c>
      <c r="G23" s="19">
        <f>CHOOSE(G6,Assumptions!$F$110,Assumptions!$F$111,Assumptions!$F$112)</f>
        <v/>
      </c>
      <c r="H23" s="19">
        <f>CHOOSE(H6,Assumptions!$F$110,Assumptions!$F$111,Assumptions!$F$112)</f>
        <v/>
      </c>
      <c r="I23" s="19">
        <f>CHOOSE(I6,Assumptions!$F$110,Assumptions!$F$111,Assumptions!$F$112)</f>
        <v/>
      </c>
      <c r="J23" s="19">
        <f>CHOOSE(J6,Assumptions!$F$110,Assumptions!$F$111,Assumptions!$F$112)</f>
        <v/>
      </c>
      <c r="K23" s="19">
        <f>CHOOSE(K6,Assumptions!$F$110,Assumptions!$F$111,Assumptions!$F$112)</f>
        <v/>
      </c>
      <c r="L23" s="19">
        <f>CHOOSE(L6,Assumptions!$F$110,Assumptions!$F$111,Assumptions!$F$112)</f>
        <v/>
      </c>
      <c r="M23" s="19">
        <f>CHOOSE(M6,Assumptions!$F$110,Assumptions!$F$111,Assumptions!$F$112)</f>
        <v/>
      </c>
      <c r="N23" s="19">
        <f>CHOOSE(N6,Assumptions!$F$110,Assumptions!$F$111,Assumptions!$F$112)</f>
        <v/>
      </c>
      <c r="O23" s="19">
        <f>CHOOSE(O6,Assumptions!$F$110,Assumptions!$F$111,Assumptions!$F$112)</f>
        <v/>
      </c>
      <c r="P23" s="19">
        <f>CHOOSE(P6,Assumptions!$F$110,Assumptions!$F$111,Assumptions!$F$112)</f>
        <v/>
      </c>
      <c r="Q23" s="19">
        <f>CHOOSE(Q6,Assumptions!$F$110,Assumptions!$F$111,Assumptions!$F$112)</f>
        <v/>
      </c>
      <c r="R23" s="19">
        <f>CHOOSE(R6,Assumptions!$F$110,Assumptions!$F$111,Assumptions!$F$112)</f>
        <v/>
      </c>
      <c r="S23" s="19">
        <f>CHOOSE(S6,Assumptions!$F$110,Assumptions!$F$111,Assumptions!$F$112)</f>
        <v/>
      </c>
      <c r="T23" s="19">
        <f>CHOOSE(T6,Assumptions!$F$110,Assumptions!$F$111,Assumptions!$F$112)</f>
        <v/>
      </c>
      <c r="U23" s="19">
        <f>CHOOSE(U6,Assumptions!$F$110,Assumptions!$F$111,Assumptions!$F$112)</f>
        <v/>
      </c>
      <c r="V23" s="19">
        <f>CHOOSE(V6,Assumptions!$F$110,Assumptions!$F$111,Assumptions!$F$112)</f>
        <v/>
      </c>
      <c r="W23" s="19">
        <f>CHOOSE(W6,Assumptions!$F$110,Assumptions!$F$111,Assumptions!$F$112)</f>
        <v/>
      </c>
      <c r="X23" s="19">
        <f>CHOOSE(X6,Assumptions!$F$110,Assumptions!$F$111,Assumptions!$F$112)</f>
        <v/>
      </c>
      <c r="Y23" s="19">
        <f>CHOOSE(Y6,Assumptions!$F$110,Assumptions!$F$111,Assumptions!$F$112)</f>
        <v/>
      </c>
      <c r="Z23" s="19">
        <f>CHOOSE(Z6,Assumptions!$F$110,Assumptions!$F$111,Assumptions!$F$112)</f>
        <v/>
      </c>
      <c r="AA23" s="19">
        <f>CHOOSE(AA6,Assumptions!$F$110,Assumptions!$F$111,Assumptions!$F$112)</f>
        <v/>
      </c>
      <c r="AB23" s="19">
        <f>CHOOSE(AB6,Assumptions!$F$110,Assumptions!$F$111,Assumptions!$F$112)</f>
        <v/>
      </c>
      <c r="AC23" s="19">
        <f>CHOOSE(AC6,Assumptions!$F$110,Assumptions!$F$111,Assumptions!$F$112)</f>
        <v/>
      </c>
      <c r="AD23" s="19">
        <f>CHOOSE(AD6,Assumptions!$F$110,Assumptions!$F$111,Assumptions!$F$112)</f>
        <v/>
      </c>
      <c r="AE23" s="19">
        <f>CHOOSE(AE6,Assumptions!$F$110,Assumptions!$F$111,Assumptions!$F$112)</f>
        <v/>
      </c>
      <c r="AF23" s="19">
        <f>CHOOSE(AF6,Assumptions!$F$110,Assumptions!$F$111,Assumptions!$F$112)</f>
        <v/>
      </c>
      <c r="AG23" s="19">
        <f>CHOOSE(AG6,Assumptions!$F$110,Assumptions!$F$111,Assumptions!$F$112)</f>
        <v/>
      </c>
      <c r="AH23" s="19">
        <f>CHOOSE(AH6,Assumptions!$F$110,Assumptions!$F$111,Assumptions!$F$112)</f>
        <v/>
      </c>
      <c r="AI23" s="19">
        <f>CHOOSE(AI6,Assumptions!$F$110,Assumptions!$F$111,Assumptions!$F$112)</f>
        <v/>
      </c>
      <c r="AJ23" s="19">
        <f>CHOOSE(AJ6,Assumptions!$F$110,Assumptions!$F$111,Assumptions!$F$112)</f>
        <v/>
      </c>
      <c r="AK23" s="19">
        <f>CHOOSE(AK6,Assumptions!$F$110,Assumptions!$F$111,Assumptions!$F$112)</f>
        <v/>
      </c>
      <c r="AL23" s="19">
        <f>CHOOSE(AL6,Assumptions!$F$110,Assumptions!$F$111,Assumptions!$F$112)</f>
        <v/>
      </c>
      <c r="AN23" s="19">
        <f>SUMIF($C$5:$AL$5,AN$5,C23:AL23)</f>
        <v/>
      </c>
      <c r="AO23" s="19">
        <f>SUMIF($C$5:$AL$5,AO$5,C23:AL23)</f>
        <v/>
      </c>
      <c r="AP23" s="19">
        <f>SUMIF($C$5:$AL$5,AP$5,C23:AL23)</f>
        <v/>
      </c>
      <c r="AQ23" s="19">
        <f>SUM(C23:AL23)</f>
        <v/>
      </c>
    </row>
    <row r="24">
      <c r="A24" s="22" t="inlineStr">
        <is>
          <t>Operations (co-working, recruitment, in-country field support, misc.)</t>
        </is>
      </c>
      <c r="B24" s="4" t="inlineStr"/>
      <c r="C24" s="19">
        <f>CHOOSE(C6,Assumptions!$F$113,Assumptions!$F$114,Assumptions!$F$115)</f>
        <v/>
      </c>
      <c r="D24" s="19">
        <f>CHOOSE(D6,Assumptions!$F$113,Assumptions!$F$114,Assumptions!$F$115)</f>
        <v/>
      </c>
      <c r="E24" s="19">
        <f>CHOOSE(E6,Assumptions!$F$113,Assumptions!$F$114,Assumptions!$F$115)</f>
        <v/>
      </c>
      <c r="F24" s="19">
        <f>CHOOSE(F6,Assumptions!$F$113,Assumptions!$F$114,Assumptions!$F$115)</f>
        <v/>
      </c>
      <c r="G24" s="19">
        <f>CHOOSE(G6,Assumptions!$F$113,Assumptions!$F$114,Assumptions!$F$115)</f>
        <v/>
      </c>
      <c r="H24" s="19">
        <f>CHOOSE(H6,Assumptions!$F$113,Assumptions!$F$114,Assumptions!$F$115)</f>
        <v/>
      </c>
      <c r="I24" s="19">
        <f>CHOOSE(I6,Assumptions!$F$113,Assumptions!$F$114,Assumptions!$F$115)</f>
        <v/>
      </c>
      <c r="J24" s="19">
        <f>CHOOSE(J6,Assumptions!$F$113,Assumptions!$F$114,Assumptions!$F$115)</f>
        <v/>
      </c>
      <c r="K24" s="19">
        <f>CHOOSE(K6,Assumptions!$F$113,Assumptions!$F$114,Assumptions!$F$115)</f>
        <v/>
      </c>
      <c r="L24" s="19">
        <f>CHOOSE(L6,Assumptions!$F$113,Assumptions!$F$114,Assumptions!$F$115)</f>
        <v/>
      </c>
      <c r="M24" s="19">
        <f>CHOOSE(M6,Assumptions!$F$113,Assumptions!$F$114,Assumptions!$F$115)</f>
        <v/>
      </c>
      <c r="N24" s="19">
        <f>CHOOSE(N6,Assumptions!$F$113,Assumptions!$F$114,Assumptions!$F$115)</f>
        <v/>
      </c>
      <c r="O24" s="19">
        <f>CHOOSE(O6,Assumptions!$F$113,Assumptions!$F$114,Assumptions!$F$115)</f>
        <v/>
      </c>
      <c r="P24" s="19">
        <f>CHOOSE(P6,Assumptions!$F$113,Assumptions!$F$114,Assumptions!$F$115)</f>
        <v/>
      </c>
      <c r="Q24" s="19">
        <f>CHOOSE(Q6,Assumptions!$F$113,Assumptions!$F$114,Assumptions!$F$115)</f>
        <v/>
      </c>
      <c r="R24" s="19">
        <f>CHOOSE(R6,Assumptions!$F$113,Assumptions!$F$114,Assumptions!$F$115)</f>
        <v/>
      </c>
      <c r="S24" s="19">
        <f>CHOOSE(S6,Assumptions!$F$113,Assumptions!$F$114,Assumptions!$F$115)</f>
        <v/>
      </c>
      <c r="T24" s="19">
        <f>CHOOSE(T6,Assumptions!$F$113,Assumptions!$F$114,Assumptions!$F$115)</f>
        <v/>
      </c>
      <c r="U24" s="19">
        <f>CHOOSE(U6,Assumptions!$F$113,Assumptions!$F$114,Assumptions!$F$115)</f>
        <v/>
      </c>
      <c r="V24" s="19">
        <f>CHOOSE(V6,Assumptions!$F$113,Assumptions!$F$114,Assumptions!$F$115)</f>
        <v/>
      </c>
      <c r="W24" s="19">
        <f>CHOOSE(W6,Assumptions!$F$113,Assumptions!$F$114,Assumptions!$F$115)</f>
        <v/>
      </c>
      <c r="X24" s="19">
        <f>CHOOSE(X6,Assumptions!$F$113,Assumptions!$F$114,Assumptions!$F$115)</f>
        <v/>
      </c>
      <c r="Y24" s="19">
        <f>CHOOSE(Y6,Assumptions!$F$113,Assumptions!$F$114,Assumptions!$F$115)</f>
        <v/>
      </c>
      <c r="Z24" s="19">
        <f>CHOOSE(Z6,Assumptions!$F$113,Assumptions!$F$114,Assumptions!$F$115)</f>
        <v/>
      </c>
      <c r="AA24" s="19">
        <f>CHOOSE(AA6,Assumptions!$F$113,Assumptions!$F$114,Assumptions!$F$115)</f>
        <v/>
      </c>
      <c r="AB24" s="19">
        <f>CHOOSE(AB6,Assumptions!$F$113,Assumptions!$F$114,Assumptions!$F$115)</f>
        <v/>
      </c>
      <c r="AC24" s="19">
        <f>CHOOSE(AC6,Assumptions!$F$113,Assumptions!$F$114,Assumptions!$F$115)</f>
        <v/>
      </c>
      <c r="AD24" s="19">
        <f>CHOOSE(AD6,Assumptions!$F$113,Assumptions!$F$114,Assumptions!$F$115)</f>
        <v/>
      </c>
      <c r="AE24" s="19">
        <f>CHOOSE(AE6,Assumptions!$F$113,Assumptions!$F$114,Assumptions!$F$115)</f>
        <v/>
      </c>
      <c r="AF24" s="19">
        <f>CHOOSE(AF6,Assumptions!$F$113,Assumptions!$F$114,Assumptions!$F$115)</f>
        <v/>
      </c>
      <c r="AG24" s="19">
        <f>CHOOSE(AG6,Assumptions!$F$113,Assumptions!$F$114,Assumptions!$F$115)</f>
        <v/>
      </c>
      <c r="AH24" s="19">
        <f>CHOOSE(AH6,Assumptions!$F$113,Assumptions!$F$114,Assumptions!$F$115)</f>
        <v/>
      </c>
      <c r="AI24" s="19">
        <f>CHOOSE(AI6,Assumptions!$F$113,Assumptions!$F$114,Assumptions!$F$115)</f>
        <v/>
      </c>
      <c r="AJ24" s="19">
        <f>CHOOSE(AJ6,Assumptions!$F$113,Assumptions!$F$114,Assumptions!$F$115)</f>
        <v/>
      </c>
      <c r="AK24" s="19">
        <f>CHOOSE(AK6,Assumptions!$F$113,Assumptions!$F$114,Assumptions!$F$115)</f>
        <v/>
      </c>
      <c r="AL24" s="19">
        <f>CHOOSE(AL6,Assumptions!$F$113,Assumptions!$F$114,Assumptions!$F$115)</f>
        <v/>
      </c>
      <c r="AN24" s="19">
        <f>SUMIF($C$5:$AL$5,AN$5,C24:AL24)</f>
        <v/>
      </c>
      <c r="AO24" s="19">
        <f>SUMIF($C$5:$AL$5,AO$5,C24:AL24)</f>
        <v/>
      </c>
      <c r="AP24" s="19">
        <f>SUMIF($C$5:$AL$5,AP$5,C24:AL24)</f>
        <v/>
      </c>
      <c r="AQ24" s="19">
        <f>SUM(C24:AL24)</f>
        <v/>
      </c>
    </row>
    <row r="25">
      <c r="A25" s="22" t="inlineStr">
        <is>
          <t>Accountancy, payroll, company secretarial</t>
        </is>
      </c>
      <c r="B25" s="4" t="inlineStr"/>
      <c r="C25" s="19">
        <f>CHOOSE(C6,Assumptions!$F$116,Assumptions!$F$117,Assumptions!$F$118)</f>
        <v/>
      </c>
      <c r="D25" s="19">
        <f>CHOOSE(D6,Assumptions!$F$116,Assumptions!$F$117,Assumptions!$F$118)</f>
        <v/>
      </c>
      <c r="E25" s="19">
        <f>CHOOSE(E6,Assumptions!$F$116,Assumptions!$F$117,Assumptions!$F$118)</f>
        <v/>
      </c>
      <c r="F25" s="19">
        <f>CHOOSE(F6,Assumptions!$F$116,Assumptions!$F$117,Assumptions!$F$118)</f>
        <v/>
      </c>
      <c r="G25" s="19">
        <f>CHOOSE(G6,Assumptions!$F$116,Assumptions!$F$117,Assumptions!$F$118)</f>
        <v/>
      </c>
      <c r="H25" s="19">
        <f>CHOOSE(H6,Assumptions!$F$116,Assumptions!$F$117,Assumptions!$F$118)</f>
        <v/>
      </c>
      <c r="I25" s="19">
        <f>CHOOSE(I6,Assumptions!$F$116,Assumptions!$F$117,Assumptions!$F$118)</f>
        <v/>
      </c>
      <c r="J25" s="19">
        <f>CHOOSE(J6,Assumptions!$F$116,Assumptions!$F$117,Assumptions!$F$118)</f>
        <v/>
      </c>
      <c r="K25" s="19">
        <f>CHOOSE(K6,Assumptions!$F$116,Assumptions!$F$117,Assumptions!$F$118)</f>
        <v/>
      </c>
      <c r="L25" s="19">
        <f>CHOOSE(L6,Assumptions!$F$116,Assumptions!$F$117,Assumptions!$F$118)</f>
        <v/>
      </c>
      <c r="M25" s="19">
        <f>CHOOSE(M6,Assumptions!$F$116,Assumptions!$F$117,Assumptions!$F$118)</f>
        <v/>
      </c>
      <c r="N25" s="19">
        <f>CHOOSE(N6,Assumptions!$F$116,Assumptions!$F$117,Assumptions!$F$118)</f>
        <v/>
      </c>
      <c r="O25" s="19">
        <f>CHOOSE(O6,Assumptions!$F$116,Assumptions!$F$117,Assumptions!$F$118)</f>
        <v/>
      </c>
      <c r="P25" s="19">
        <f>CHOOSE(P6,Assumptions!$F$116,Assumptions!$F$117,Assumptions!$F$118)</f>
        <v/>
      </c>
      <c r="Q25" s="19">
        <f>CHOOSE(Q6,Assumptions!$F$116,Assumptions!$F$117,Assumptions!$F$118)</f>
        <v/>
      </c>
      <c r="R25" s="19">
        <f>CHOOSE(R6,Assumptions!$F$116,Assumptions!$F$117,Assumptions!$F$118)</f>
        <v/>
      </c>
      <c r="S25" s="19">
        <f>CHOOSE(S6,Assumptions!$F$116,Assumptions!$F$117,Assumptions!$F$118)</f>
        <v/>
      </c>
      <c r="T25" s="19">
        <f>CHOOSE(T6,Assumptions!$F$116,Assumptions!$F$117,Assumptions!$F$118)</f>
        <v/>
      </c>
      <c r="U25" s="19">
        <f>CHOOSE(U6,Assumptions!$F$116,Assumptions!$F$117,Assumptions!$F$118)</f>
        <v/>
      </c>
      <c r="V25" s="19">
        <f>CHOOSE(V6,Assumptions!$F$116,Assumptions!$F$117,Assumptions!$F$118)</f>
        <v/>
      </c>
      <c r="W25" s="19">
        <f>CHOOSE(W6,Assumptions!$F$116,Assumptions!$F$117,Assumptions!$F$118)</f>
        <v/>
      </c>
      <c r="X25" s="19">
        <f>CHOOSE(X6,Assumptions!$F$116,Assumptions!$F$117,Assumptions!$F$118)</f>
        <v/>
      </c>
      <c r="Y25" s="19">
        <f>CHOOSE(Y6,Assumptions!$F$116,Assumptions!$F$117,Assumptions!$F$118)</f>
        <v/>
      </c>
      <c r="Z25" s="19">
        <f>CHOOSE(Z6,Assumptions!$F$116,Assumptions!$F$117,Assumptions!$F$118)</f>
        <v/>
      </c>
      <c r="AA25" s="19">
        <f>CHOOSE(AA6,Assumptions!$F$116,Assumptions!$F$117,Assumptions!$F$118)</f>
        <v/>
      </c>
      <c r="AB25" s="19">
        <f>CHOOSE(AB6,Assumptions!$F$116,Assumptions!$F$117,Assumptions!$F$118)</f>
        <v/>
      </c>
      <c r="AC25" s="19">
        <f>CHOOSE(AC6,Assumptions!$F$116,Assumptions!$F$117,Assumptions!$F$118)</f>
        <v/>
      </c>
      <c r="AD25" s="19">
        <f>CHOOSE(AD6,Assumptions!$F$116,Assumptions!$F$117,Assumptions!$F$118)</f>
        <v/>
      </c>
      <c r="AE25" s="19">
        <f>CHOOSE(AE6,Assumptions!$F$116,Assumptions!$F$117,Assumptions!$F$118)</f>
        <v/>
      </c>
      <c r="AF25" s="19">
        <f>CHOOSE(AF6,Assumptions!$F$116,Assumptions!$F$117,Assumptions!$F$118)</f>
        <v/>
      </c>
      <c r="AG25" s="19">
        <f>CHOOSE(AG6,Assumptions!$F$116,Assumptions!$F$117,Assumptions!$F$118)</f>
        <v/>
      </c>
      <c r="AH25" s="19">
        <f>CHOOSE(AH6,Assumptions!$F$116,Assumptions!$F$117,Assumptions!$F$118)</f>
        <v/>
      </c>
      <c r="AI25" s="19">
        <f>CHOOSE(AI6,Assumptions!$F$116,Assumptions!$F$117,Assumptions!$F$118)</f>
        <v/>
      </c>
      <c r="AJ25" s="19">
        <f>CHOOSE(AJ6,Assumptions!$F$116,Assumptions!$F$117,Assumptions!$F$118)</f>
        <v/>
      </c>
      <c r="AK25" s="19">
        <f>CHOOSE(AK6,Assumptions!$F$116,Assumptions!$F$117,Assumptions!$F$118)</f>
        <v/>
      </c>
      <c r="AL25" s="19">
        <f>CHOOSE(AL6,Assumptions!$F$116,Assumptions!$F$117,Assumptions!$F$118)</f>
        <v/>
      </c>
      <c r="AN25" s="19">
        <f>SUMIF($C$5:$AL$5,AN$5,C25:AL25)</f>
        <v/>
      </c>
      <c r="AO25" s="19">
        <f>SUMIF($C$5:$AL$5,AO$5,C25:AL25)</f>
        <v/>
      </c>
      <c r="AP25" s="19">
        <f>SUMIF($C$5:$AL$5,AP$5,C25:AL25)</f>
        <v/>
      </c>
      <c r="AQ25" s="19">
        <f>SUM(C25:AL25)</f>
        <v/>
      </c>
    </row>
    <row r="26">
      <c r="A26" s="22" t="inlineStr">
        <is>
          <t>Legal &amp; IP set-up (one-off)</t>
        </is>
      </c>
      <c r="B26" s="4" t="inlineStr"/>
      <c r="C26" s="19">
        <f>IF(C3=1,Assumptions!$F$119,0)</f>
        <v/>
      </c>
      <c r="D26" s="19">
        <f>IF(D3=1,Assumptions!$F$119,0)</f>
        <v/>
      </c>
      <c r="E26" s="19">
        <f>IF(E3=1,Assumptions!$F$119,0)</f>
        <v/>
      </c>
      <c r="F26" s="19">
        <f>IF(F3=1,Assumptions!$F$119,0)</f>
        <v/>
      </c>
      <c r="G26" s="19">
        <f>IF(G3=1,Assumptions!$F$119,0)</f>
        <v/>
      </c>
      <c r="H26" s="19">
        <f>IF(H3=1,Assumptions!$F$119,0)</f>
        <v/>
      </c>
      <c r="I26" s="19">
        <f>IF(I3=1,Assumptions!$F$119,0)</f>
        <v/>
      </c>
      <c r="J26" s="19">
        <f>IF(J3=1,Assumptions!$F$119,0)</f>
        <v/>
      </c>
      <c r="K26" s="19">
        <f>IF(K3=1,Assumptions!$F$119,0)</f>
        <v/>
      </c>
      <c r="L26" s="19">
        <f>IF(L3=1,Assumptions!$F$119,0)</f>
        <v/>
      </c>
      <c r="M26" s="19">
        <f>IF(M3=1,Assumptions!$F$119,0)</f>
        <v/>
      </c>
      <c r="N26" s="19">
        <f>IF(N3=1,Assumptions!$F$119,0)</f>
        <v/>
      </c>
      <c r="O26" s="19">
        <f>IF(O3=1,Assumptions!$F$119,0)</f>
        <v/>
      </c>
      <c r="P26" s="19">
        <f>IF(P3=1,Assumptions!$F$119,0)</f>
        <v/>
      </c>
      <c r="Q26" s="19">
        <f>IF(Q3=1,Assumptions!$F$119,0)</f>
        <v/>
      </c>
      <c r="R26" s="19">
        <f>IF(R3=1,Assumptions!$F$119,0)</f>
        <v/>
      </c>
      <c r="S26" s="19">
        <f>IF(S3=1,Assumptions!$F$119,0)</f>
        <v/>
      </c>
      <c r="T26" s="19">
        <f>IF(T3=1,Assumptions!$F$119,0)</f>
        <v/>
      </c>
      <c r="U26" s="19">
        <f>IF(U3=1,Assumptions!$F$119,0)</f>
        <v/>
      </c>
      <c r="V26" s="19">
        <f>IF(V3=1,Assumptions!$F$119,0)</f>
        <v/>
      </c>
      <c r="W26" s="19">
        <f>IF(W3=1,Assumptions!$F$119,0)</f>
        <v/>
      </c>
      <c r="X26" s="19">
        <f>IF(X3=1,Assumptions!$F$119,0)</f>
        <v/>
      </c>
      <c r="Y26" s="19">
        <f>IF(Y3=1,Assumptions!$F$119,0)</f>
        <v/>
      </c>
      <c r="Z26" s="19">
        <f>IF(Z3=1,Assumptions!$F$119,0)</f>
        <v/>
      </c>
      <c r="AA26" s="19">
        <f>IF(AA3=1,Assumptions!$F$119,0)</f>
        <v/>
      </c>
      <c r="AB26" s="19">
        <f>IF(AB3=1,Assumptions!$F$119,0)</f>
        <v/>
      </c>
      <c r="AC26" s="19">
        <f>IF(AC3=1,Assumptions!$F$119,0)</f>
        <v/>
      </c>
      <c r="AD26" s="19">
        <f>IF(AD3=1,Assumptions!$F$119,0)</f>
        <v/>
      </c>
      <c r="AE26" s="19">
        <f>IF(AE3=1,Assumptions!$F$119,0)</f>
        <v/>
      </c>
      <c r="AF26" s="19">
        <f>IF(AF3=1,Assumptions!$F$119,0)</f>
        <v/>
      </c>
      <c r="AG26" s="19">
        <f>IF(AG3=1,Assumptions!$F$119,0)</f>
        <v/>
      </c>
      <c r="AH26" s="19">
        <f>IF(AH3=1,Assumptions!$F$119,0)</f>
        <v/>
      </c>
      <c r="AI26" s="19">
        <f>IF(AI3=1,Assumptions!$F$119,0)</f>
        <v/>
      </c>
      <c r="AJ26" s="19">
        <f>IF(AJ3=1,Assumptions!$F$119,0)</f>
        <v/>
      </c>
      <c r="AK26" s="19">
        <f>IF(AK3=1,Assumptions!$F$119,0)</f>
        <v/>
      </c>
      <c r="AL26" s="19">
        <f>IF(AL3=1,Assumptions!$F$119,0)</f>
        <v/>
      </c>
      <c r="AN26" s="19">
        <f>SUMIF($C$5:$AL$5,AN$5,C26:AL26)</f>
        <v/>
      </c>
      <c r="AO26" s="19">
        <f>SUMIF($C$5:$AL$5,AO$5,C26:AL26)</f>
        <v/>
      </c>
      <c r="AP26" s="19">
        <f>SUMIF($C$5:$AL$5,AP$5,C26:AL26)</f>
        <v/>
      </c>
      <c r="AQ26" s="19">
        <f>SUM(C26:AL26)</f>
        <v/>
      </c>
    </row>
    <row r="27">
      <c r="A27" s="22" t="inlineStr">
        <is>
          <t>E-learning content build (one-off at launch)</t>
        </is>
      </c>
      <c r="B27" s="4" t="inlineStr"/>
      <c r="C27" s="19">
        <f>IF(C3=Assumptions!$F$33,Assumptions!$F$42,0)</f>
        <v/>
      </c>
      <c r="D27" s="19">
        <f>IF(D3=Assumptions!$F$33,Assumptions!$F$42,0)</f>
        <v/>
      </c>
      <c r="E27" s="19">
        <f>IF(E3=Assumptions!$F$33,Assumptions!$F$42,0)</f>
        <v/>
      </c>
      <c r="F27" s="19">
        <f>IF(F3=Assumptions!$F$33,Assumptions!$F$42,0)</f>
        <v/>
      </c>
      <c r="G27" s="19">
        <f>IF(G3=Assumptions!$F$33,Assumptions!$F$42,0)</f>
        <v/>
      </c>
      <c r="H27" s="19">
        <f>IF(H3=Assumptions!$F$33,Assumptions!$F$42,0)</f>
        <v/>
      </c>
      <c r="I27" s="19">
        <f>IF(I3=Assumptions!$F$33,Assumptions!$F$42,0)</f>
        <v/>
      </c>
      <c r="J27" s="19">
        <f>IF(J3=Assumptions!$F$33,Assumptions!$F$42,0)</f>
        <v/>
      </c>
      <c r="K27" s="19">
        <f>IF(K3=Assumptions!$F$33,Assumptions!$F$42,0)</f>
        <v/>
      </c>
      <c r="L27" s="19">
        <f>IF(L3=Assumptions!$F$33,Assumptions!$F$42,0)</f>
        <v/>
      </c>
      <c r="M27" s="19">
        <f>IF(M3=Assumptions!$F$33,Assumptions!$F$42,0)</f>
        <v/>
      </c>
      <c r="N27" s="19">
        <f>IF(N3=Assumptions!$F$33,Assumptions!$F$42,0)</f>
        <v/>
      </c>
      <c r="O27" s="19">
        <f>IF(O3=Assumptions!$F$33,Assumptions!$F$42,0)</f>
        <v/>
      </c>
      <c r="P27" s="19">
        <f>IF(P3=Assumptions!$F$33,Assumptions!$F$42,0)</f>
        <v/>
      </c>
      <c r="Q27" s="19">
        <f>IF(Q3=Assumptions!$F$33,Assumptions!$F$42,0)</f>
        <v/>
      </c>
      <c r="R27" s="19">
        <f>IF(R3=Assumptions!$F$33,Assumptions!$F$42,0)</f>
        <v/>
      </c>
      <c r="S27" s="19">
        <f>IF(S3=Assumptions!$F$33,Assumptions!$F$42,0)</f>
        <v/>
      </c>
      <c r="T27" s="19">
        <f>IF(T3=Assumptions!$F$33,Assumptions!$F$42,0)</f>
        <v/>
      </c>
      <c r="U27" s="19">
        <f>IF(U3=Assumptions!$F$33,Assumptions!$F$42,0)</f>
        <v/>
      </c>
      <c r="V27" s="19">
        <f>IF(V3=Assumptions!$F$33,Assumptions!$F$42,0)</f>
        <v/>
      </c>
      <c r="W27" s="19">
        <f>IF(W3=Assumptions!$F$33,Assumptions!$F$42,0)</f>
        <v/>
      </c>
      <c r="X27" s="19">
        <f>IF(X3=Assumptions!$F$33,Assumptions!$F$42,0)</f>
        <v/>
      </c>
      <c r="Y27" s="19">
        <f>IF(Y3=Assumptions!$F$33,Assumptions!$F$42,0)</f>
        <v/>
      </c>
      <c r="Z27" s="19">
        <f>IF(Z3=Assumptions!$F$33,Assumptions!$F$42,0)</f>
        <v/>
      </c>
      <c r="AA27" s="19">
        <f>IF(AA3=Assumptions!$F$33,Assumptions!$F$42,0)</f>
        <v/>
      </c>
      <c r="AB27" s="19">
        <f>IF(AB3=Assumptions!$F$33,Assumptions!$F$42,0)</f>
        <v/>
      </c>
      <c r="AC27" s="19">
        <f>IF(AC3=Assumptions!$F$33,Assumptions!$F$42,0)</f>
        <v/>
      </c>
      <c r="AD27" s="19">
        <f>IF(AD3=Assumptions!$F$33,Assumptions!$F$42,0)</f>
        <v/>
      </c>
      <c r="AE27" s="19">
        <f>IF(AE3=Assumptions!$F$33,Assumptions!$F$42,0)</f>
        <v/>
      </c>
      <c r="AF27" s="19">
        <f>IF(AF3=Assumptions!$F$33,Assumptions!$F$42,0)</f>
        <v/>
      </c>
      <c r="AG27" s="19">
        <f>IF(AG3=Assumptions!$F$33,Assumptions!$F$42,0)</f>
        <v/>
      </c>
      <c r="AH27" s="19">
        <f>IF(AH3=Assumptions!$F$33,Assumptions!$F$42,0)</f>
        <v/>
      </c>
      <c r="AI27" s="19">
        <f>IF(AI3=Assumptions!$F$33,Assumptions!$F$42,0)</f>
        <v/>
      </c>
      <c r="AJ27" s="19">
        <f>IF(AJ3=Assumptions!$F$33,Assumptions!$F$42,0)</f>
        <v/>
      </c>
      <c r="AK27" s="19">
        <f>IF(AK3=Assumptions!$F$33,Assumptions!$F$42,0)</f>
        <v/>
      </c>
      <c r="AL27" s="19">
        <f>IF(AL3=Assumptions!$F$33,Assumptions!$F$42,0)</f>
        <v/>
      </c>
      <c r="AN27" s="19">
        <f>SUMIF($C$5:$AL$5,AN$5,C27:AL27)</f>
        <v/>
      </c>
      <c r="AO27" s="19">
        <f>SUMIF($C$5:$AL$5,AO$5,C27:AL27)</f>
        <v/>
      </c>
      <c r="AP27" s="19">
        <f>SUMIF($C$5:$AL$5,AP$5,C27:AL27)</f>
        <v/>
      </c>
      <c r="AQ27" s="19">
        <f>SUM(C27:AL27)</f>
        <v/>
      </c>
    </row>
    <row r="28">
      <c r="A28" s="7" t="inlineStr">
        <is>
          <t>Total other operating costs</t>
        </is>
      </c>
      <c r="B28" s="4" t="inlineStr"/>
      <c r="C28" s="26">
        <f>SUM(C16:C27)</f>
        <v/>
      </c>
      <c r="D28" s="26">
        <f>SUM(D16:D27)</f>
        <v/>
      </c>
      <c r="E28" s="26">
        <f>SUM(E16:E27)</f>
        <v/>
      </c>
      <c r="F28" s="26">
        <f>SUM(F16:F27)</f>
        <v/>
      </c>
      <c r="G28" s="26">
        <f>SUM(G16:G27)</f>
        <v/>
      </c>
      <c r="H28" s="26">
        <f>SUM(H16:H27)</f>
        <v/>
      </c>
      <c r="I28" s="26">
        <f>SUM(I16:I27)</f>
        <v/>
      </c>
      <c r="J28" s="26">
        <f>SUM(J16:J27)</f>
        <v/>
      </c>
      <c r="K28" s="26">
        <f>SUM(K16:K27)</f>
        <v/>
      </c>
      <c r="L28" s="26">
        <f>SUM(L16:L27)</f>
        <v/>
      </c>
      <c r="M28" s="26">
        <f>SUM(M16:M27)</f>
        <v/>
      </c>
      <c r="N28" s="26">
        <f>SUM(N16:N27)</f>
        <v/>
      </c>
      <c r="O28" s="26">
        <f>SUM(O16:O27)</f>
        <v/>
      </c>
      <c r="P28" s="26">
        <f>SUM(P16:P27)</f>
        <v/>
      </c>
      <c r="Q28" s="26">
        <f>SUM(Q16:Q27)</f>
        <v/>
      </c>
      <c r="R28" s="26">
        <f>SUM(R16:R27)</f>
        <v/>
      </c>
      <c r="S28" s="26">
        <f>SUM(S16:S27)</f>
        <v/>
      </c>
      <c r="T28" s="26">
        <f>SUM(T16:T27)</f>
        <v/>
      </c>
      <c r="U28" s="26">
        <f>SUM(U16:U27)</f>
        <v/>
      </c>
      <c r="V28" s="26">
        <f>SUM(V16:V27)</f>
        <v/>
      </c>
      <c r="W28" s="26">
        <f>SUM(W16:W27)</f>
        <v/>
      </c>
      <c r="X28" s="26">
        <f>SUM(X16:X27)</f>
        <v/>
      </c>
      <c r="Y28" s="26">
        <f>SUM(Y16:Y27)</f>
        <v/>
      </c>
      <c r="Z28" s="26">
        <f>SUM(Z16:Z27)</f>
        <v/>
      </c>
      <c r="AA28" s="26">
        <f>SUM(AA16:AA27)</f>
        <v/>
      </c>
      <c r="AB28" s="26">
        <f>SUM(AB16:AB27)</f>
        <v/>
      </c>
      <c r="AC28" s="26">
        <f>SUM(AC16:AC27)</f>
        <v/>
      </c>
      <c r="AD28" s="26">
        <f>SUM(AD16:AD27)</f>
        <v/>
      </c>
      <c r="AE28" s="26">
        <f>SUM(AE16:AE27)</f>
        <v/>
      </c>
      <c r="AF28" s="26">
        <f>SUM(AF16:AF27)</f>
        <v/>
      </c>
      <c r="AG28" s="26">
        <f>SUM(AG16:AG27)</f>
        <v/>
      </c>
      <c r="AH28" s="26">
        <f>SUM(AH16:AH27)</f>
        <v/>
      </c>
      <c r="AI28" s="26">
        <f>SUM(AI16:AI27)</f>
        <v/>
      </c>
      <c r="AJ28" s="26">
        <f>SUM(AJ16:AJ27)</f>
        <v/>
      </c>
      <c r="AK28" s="26">
        <f>SUM(AK16:AK27)</f>
        <v/>
      </c>
      <c r="AL28" s="26">
        <f>SUM(AL16:AL27)</f>
        <v/>
      </c>
      <c r="AN28" s="26">
        <f>SUMIF($C$5:$AL$5,AN$5,C28:AL28)</f>
        <v/>
      </c>
      <c r="AO28" s="26">
        <f>SUMIF($C$5:$AL$5,AO$5,C28:AL28)</f>
        <v/>
      </c>
      <c r="AP28" s="26">
        <f>SUMIF($C$5:$AL$5,AP$5,C28:AL28)</f>
        <v/>
      </c>
      <c r="AQ28" s="26">
        <f>SUM(C28:AL28)</f>
        <v/>
      </c>
    </row>
    <row r="30">
      <c r="A30" s="7" t="inlineStr">
        <is>
          <t>TOTAL OPERATING EXPENSES</t>
        </is>
      </c>
      <c r="B30" s="4" t="inlineStr"/>
      <c r="C30" s="26">
        <f>'Opex'!C13+'Opex'!C28</f>
        <v/>
      </c>
      <c r="D30" s="26">
        <f>'Opex'!D13+'Opex'!D28</f>
        <v/>
      </c>
      <c r="E30" s="26">
        <f>'Opex'!E13+'Opex'!E28</f>
        <v/>
      </c>
      <c r="F30" s="26">
        <f>'Opex'!F13+'Opex'!F28</f>
        <v/>
      </c>
      <c r="G30" s="26">
        <f>'Opex'!G13+'Opex'!G28</f>
        <v/>
      </c>
      <c r="H30" s="26">
        <f>'Opex'!H13+'Opex'!H28</f>
        <v/>
      </c>
      <c r="I30" s="26">
        <f>'Opex'!I13+'Opex'!I28</f>
        <v/>
      </c>
      <c r="J30" s="26">
        <f>'Opex'!J13+'Opex'!J28</f>
        <v/>
      </c>
      <c r="K30" s="26">
        <f>'Opex'!K13+'Opex'!K28</f>
        <v/>
      </c>
      <c r="L30" s="26">
        <f>'Opex'!L13+'Opex'!L28</f>
        <v/>
      </c>
      <c r="M30" s="26">
        <f>'Opex'!M13+'Opex'!M28</f>
        <v/>
      </c>
      <c r="N30" s="26">
        <f>'Opex'!N13+'Opex'!N28</f>
        <v/>
      </c>
      <c r="O30" s="26">
        <f>'Opex'!O13+'Opex'!O28</f>
        <v/>
      </c>
      <c r="P30" s="26">
        <f>'Opex'!P13+'Opex'!P28</f>
        <v/>
      </c>
      <c r="Q30" s="26">
        <f>'Opex'!Q13+'Opex'!Q28</f>
        <v/>
      </c>
      <c r="R30" s="26">
        <f>'Opex'!R13+'Opex'!R28</f>
        <v/>
      </c>
      <c r="S30" s="26">
        <f>'Opex'!S13+'Opex'!S28</f>
        <v/>
      </c>
      <c r="T30" s="26">
        <f>'Opex'!T13+'Opex'!T28</f>
        <v/>
      </c>
      <c r="U30" s="26">
        <f>'Opex'!U13+'Opex'!U28</f>
        <v/>
      </c>
      <c r="V30" s="26">
        <f>'Opex'!V13+'Opex'!V28</f>
        <v/>
      </c>
      <c r="W30" s="26">
        <f>'Opex'!W13+'Opex'!W28</f>
        <v/>
      </c>
      <c r="X30" s="26">
        <f>'Opex'!X13+'Opex'!X28</f>
        <v/>
      </c>
      <c r="Y30" s="26">
        <f>'Opex'!Y13+'Opex'!Y28</f>
        <v/>
      </c>
      <c r="Z30" s="26">
        <f>'Opex'!Z13+'Opex'!Z28</f>
        <v/>
      </c>
      <c r="AA30" s="26">
        <f>'Opex'!AA13+'Opex'!AA28</f>
        <v/>
      </c>
      <c r="AB30" s="26">
        <f>'Opex'!AB13+'Opex'!AB28</f>
        <v/>
      </c>
      <c r="AC30" s="26">
        <f>'Opex'!AC13+'Opex'!AC28</f>
        <v/>
      </c>
      <c r="AD30" s="26">
        <f>'Opex'!AD13+'Opex'!AD28</f>
        <v/>
      </c>
      <c r="AE30" s="26">
        <f>'Opex'!AE13+'Opex'!AE28</f>
        <v/>
      </c>
      <c r="AF30" s="26">
        <f>'Opex'!AF13+'Opex'!AF28</f>
        <v/>
      </c>
      <c r="AG30" s="26">
        <f>'Opex'!AG13+'Opex'!AG28</f>
        <v/>
      </c>
      <c r="AH30" s="26">
        <f>'Opex'!AH13+'Opex'!AH28</f>
        <v/>
      </c>
      <c r="AI30" s="26">
        <f>'Opex'!AI13+'Opex'!AI28</f>
        <v/>
      </c>
      <c r="AJ30" s="26">
        <f>'Opex'!AJ13+'Opex'!AJ28</f>
        <v/>
      </c>
      <c r="AK30" s="26">
        <f>'Opex'!AK13+'Opex'!AK28</f>
        <v/>
      </c>
      <c r="AL30" s="26">
        <f>'Opex'!AL13+'Opex'!AL28</f>
        <v/>
      </c>
      <c r="AN30" s="26">
        <f>SUMIF($C$5:$AL$5,AN$5,C30:AL30)</f>
        <v/>
      </c>
      <c r="AO30" s="26">
        <f>SUMIF($C$5:$AL$5,AO$5,C30:AL30)</f>
        <v/>
      </c>
      <c r="AP30" s="26">
        <f>SUMIF($C$5:$AL$5,AP$5,C30:AL30)</f>
        <v/>
      </c>
      <c r="AQ30" s="26">
        <f>SUM(C30:AL30)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Q60"/>
  <sheetViews>
    <sheetView workbookViewId="0">
      <pane xSplit="2" ySplit="6" topLeftCell="C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2" customWidth="1" min="1" max="1"/>
    <col width="14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3" customWidth="1" min="40" max="40"/>
    <col width="13" customWidth="1" min="41" max="41"/>
    <col width="13" customWidth="1" min="42" max="42"/>
    <col width="13" customWidth="1" min="43" max="43"/>
  </cols>
  <sheetData>
    <row r="1">
      <c r="A1" s="38" t="inlineStr">
        <is>
          <t>Headcount and payroll (employer NI 15% above £5,000; pension 3% of qualifying earnings)</t>
        </is>
      </c>
    </row>
    <row r="2">
      <c r="A2" s="4">
        <f>"Scenario: "&amp;Assumptions!$D$4&amp;"  —  all figures GBP, scenario values, not actuals"</f>
        <v/>
      </c>
    </row>
    <row r="3">
      <c r="A3" s="20" t="inlineStr">
        <is>
          <t>Month #</t>
        </is>
      </c>
      <c r="B3" s="10" t="n"/>
      <c r="C3" s="20" t="n">
        <v>1</v>
      </c>
      <c r="D3" s="20" t="n">
        <v>2</v>
      </c>
      <c r="E3" s="20" t="n">
        <v>3</v>
      </c>
      <c r="F3" s="20" t="n">
        <v>4</v>
      </c>
      <c r="G3" s="20" t="n">
        <v>5</v>
      </c>
      <c r="H3" s="20" t="n">
        <v>6</v>
      </c>
      <c r="I3" s="20" t="n">
        <v>7</v>
      </c>
      <c r="J3" s="20" t="n">
        <v>8</v>
      </c>
      <c r="K3" s="20" t="n">
        <v>9</v>
      </c>
      <c r="L3" s="20" t="n">
        <v>10</v>
      </c>
      <c r="M3" s="20" t="n">
        <v>11</v>
      </c>
      <c r="N3" s="20" t="n">
        <v>12</v>
      </c>
      <c r="O3" s="20" t="n">
        <v>13</v>
      </c>
      <c r="P3" s="20" t="n">
        <v>14</v>
      </c>
      <c r="Q3" s="20" t="n">
        <v>15</v>
      </c>
      <c r="R3" s="20" t="n">
        <v>16</v>
      </c>
      <c r="S3" s="20" t="n">
        <v>17</v>
      </c>
      <c r="T3" s="20" t="n">
        <v>18</v>
      </c>
      <c r="U3" s="20" t="n">
        <v>19</v>
      </c>
      <c r="V3" s="20" t="n">
        <v>20</v>
      </c>
      <c r="W3" s="20" t="n">
        <v>21</v>
      </c>
      <c r="X3" s="20" t="n">
        <v>22</v>
      </c>
      <c r="Y3" s="20" t="n">
        <v>23</v>
      </c>
      <c r="Z3" s="20" t="n">
        <v>24</v>
      </c>
      <c r="AA3" s="20" t="n">
        <v>25</v>
      </c>
      <c r="AB3" s="20" t="n">
        <v>26</v>
      </c>
      <c r="AC3" s="20" t="n">
        <v>27</v>
      </c>
      <c r="AD3" s="20" t="n">
        <v>28</v>
      </c>
      <c r="AE3" s="20" t="n">
        <v>29</v>
      </c>
      <c r="AF3" s="20" t="n">
        <v>30</v>
      </c>
      <c r="AG3" s="20" t="n">
        <v>31</v>
      </c>
      <c r="AH3" s="20" t="n">
        <v>32</v>
      </c>
      <c r="AI3" s="20" t="n">
        <v>33</v>
      </c>
      <c r="AJ3" s="20" t="n">
        <v>34</v>
      </c>
      <c r="AK3" s="20" t="n">
        <v>35</v>
      </c>
      <c r="AL3" s="20" t="n">
        <v>36</v>
      </c>
      <c r="AM3" s="10" t="n"/>
      <c r="AN3" s="10" t="n"/>
      <c r="AO3" s="10" t="n"/>
      <c r="AP3" s="10" t="n"/>
      <c r="AQ3" s="10" t="n"/>
    </row>
    <row r="4">
      <c r="A4" s="20" t="inlineStr">
        <is>
          <t>Month</t>
        </is>
      </c>
      <c r="B4" s="10" t="n"/>
      <c r="C4" s="21" t="n">
        <v>46388</v>
      </c>
      <c r="D4" s="21" t="n">
        <v>46419</v>
      </c>
      <c r="E4" s="21" t="n">
        <v>46447</v>
      </c>
      <c r="F4" s="21" t="n">
        <v>46478</v>
      </c>
      <c r="G4" s="21" t="n">
        <v>46508</v>
      </c>
      <c r="H4" s="21" t="n">
        <v>46539</v>
      </c>
      <c r="I4" s="21" t="n">
        <v>46569</v>
      </c>
      <c r="J4" s="21" t="n">
        <v>46600</v>
      </c>
      <c r="K4" s="21" t="n">
        <v>46631</v>
      </c>
      <c r="L4" s="21" t="n">
        <v>46661</v>
      </c>
      <c r="M4" s="21" t="n">
        <v>46692</v>
      </c>
      <c r="N4" s="21" t="n">
        <v>46722</v>
      </c>
      <c r="O4" s="21" t="n">
        <v>46753</v>
      </c>
      <c r="P4" s="21" t="n">
        <v>46784</v>
      </c>
      <c r="Q4" s="21" t="n">
        <v>46813</v>
      </c>
      <c r="R4" s="21" t="n">
        <v>46844</v>
      </c>
      <c r="S4" s="21" t="n">
        <v>46874</v>
      </c>
      <c r="T4" s="21" t="n">
        <v>46905</v>
      </c>
      <c r="U4" s="21" t="n">
        <v>46935</v>
      </c>
      <c r="V4" s="21" t="n">
        <v>46966</v>
      </c>
      <c r="W4" s="21" t="n">
        <v>46997</v>
      </c>
      <c r="X4" s="21" t="n">
        <v>47027</v>
      </c>
      <c r="Y4" s="21" t="n">
        <v>47058</v>
      </c>
      <c r="Z4" s="21" t="n">
        <v>47088</v>
      </c>
      <c r="AA4" s="21" t="n">
        <v>47119</v>
      </c>
      <c r="AB4" s="21" t="n">
        <v>47150</v>
      </c>
      <c r="AC4" s="21" t="n">
        <v>47178</v>
      </c>
      <c r="AD4" s="21" t="n">
        <v>47209</v>
      </c>
      <c r="AE4" s="21" t="n">
        <v>47239</v>
      </c>
      <c r="AF4" s="21" t="n">
        <v>47270</v>
      </c>
      <c r="AG4" s="21" t="n">
        <v>47300</v>
      </c>
      <c r="AH4" s="21" t="n">
        <v>47331</v>
      </c>
      <c r="AI4" s="21" t="n">
        <v>47362</v>
      </c>
      <c r="AJ4" s="21" t="n">
        <v>47392</v>
      </c>
      <c r="AK4" s="21" t="n">
        <v>47423</v>
      </c>
      <c r="AL4" s="21" t="n">
        <v>47453</v>
      </c>
      <c r="AM4" s="10" t="n"/>
      <c r="AN4" s="20" t="inlineStr">
        <is>
          <t>FY2027</t>
        </is>
      </c>
      <c r="AO4" s="20" t="inlineStr">
        <is>
          <t>FY2028</t>
        </is>
      </c>
      <c r="AP4" s="20" t="inlineStr">
        <is>
          <t>FY2029</t>
        </is>
      </c>
      <c r="AQ4" s="20" t="inlineStr">
        <is>
          <t>3-year total</t>
        </is>
      </c>
    </row>
    <row r="5">
      <c r="A5" s="20" t="inlineStr">
        <is>
          <t>Year</t>
        </is>
      </c>
      <c r="B5" s="10" t="n"/>
      <c r="C5" s="20" t="n">
        <v>2027</v>
      </c>
      <c r="D5" s="20" t="n">
        <v>2027</v>
      </c>
      <c r="E5" s="20" t="n">
        <v>2027</v>
      </c>
      <c r="F5" s="20" t="n">
        <v>2027</v>
      </c>
      <c r="G5" s="20" t="n">
        <v>2027</v>
      </c>
      <c r="H5" s="20" t="n">
        <v>2027</v>
      </c>
      <c r="I5" s="20" t="n">
        <v>2027</v>
      </c>
      <c r="J5" s="20" t="n">
        <v>2027</v>
      </c>
      <c r="K5" s="20" t="n">
        <v>2027</v>
      </c>
      <c r="L5" s="20" t="n">
        <v>2027</v>
      </c>
      <c r="M5" s="20" t="n">
        <v>2027</v>
      </c>
      <c r="N5" s="20" t="n">
        <v>2027</v>
      </c>
      <c r="O5" s="20" t="n">
        <v>2028</v>
      </c>
      <c r="P5" s="20" t="n">
        <v>2028</v>
      </c>
      <c r="Q5" s="20" t="n">
        <v>2028</v>
      </c>
      <c r="R5" s="20" t="n">
        <v>2028</v>
      </c>
      <c r="S5" s="20" t="n">
        <v>2028</v>
      </c>
      <c r="T5" s="20" t="n">
        <v>2028</v>
      </c>
      <c r="U5" s="20" t="n">
        <v>2028</v>
      </c>
      <c r="V5" s="20" t="n">
        <v>2028</v>
      </c>
      <c r="W5" s="20" t="n">
        <v>2028</v>
      </c>
      <c r="X5" s="20" t="n">
        <v>2028</v>
      </c>
      <c r="Y5" s="20" t="n">
        <v>2028</v>
      </c>
      <c r="Z5" s="20" t="n">
        <v>2028</v>
      </c>
      <c r="AA5" s="20" t="n">
        <v>2029</v>
      </c>
      <c r="AB5" s="20" t="n">
        <v>2029</v>
      </c>
      <c r="AC5" s="20" t="n">
        <v>2029</v>
      </c>
      <c r="AD5" s="20" t="n">
        <v>2029</v>
      </c>
      <c r="AE5" s="20" t="n">
        <v>2029</v>
      </c>
      <c r="AF5" s="20" t="n">
        <v>2029</v>
      </c>
      <c r="AG5" s="20" t="n">
        <v>2029</v>
      </c>
      <c r="AH5" s="20" t="n">
        <v>2029</v>
      </c>
      <c r="AI5" s="20" t="n">
        <v>2029</v>
      </c>
      <c r="AJ5" s="20" t="n">
        <v>2029</v>
      </c>
      <c r="AK5" s="20" t="n">
        <v>2029</v>
      </c>
      <c r="AL5" s="20" t="n">
        <v>2029</v>
      </c>
      <c r="AM5" s="10" t="n"/>
      <c r="AN5" s="20" t="n">
        <v>2027</v>
      </c>
      <c r="AO5" s="20" t="n">
        <v>2028</v>
      </c>
      <c r="AP5" s="20" t="n">
        <v>2029</v>
      </c>
      <c r="AQ5" s="10" t="n"/>
    </row>
    <row r="6">
      <c r="A6" s="7" t="inlineStr">
        <is>
          <t>Year index</t>
        </is>
      </c>
      <c r="C6">
        <f>C5-2026</f>
        <v/>
      </c>
      <c r="D6">
        <f>D5-2026</f>
        <v/>
      </c>
      <c r="E6">
        <f>E5-2026</f>
        <v/>
      </c>
      <c r="F6">
        <f>F5-2026</f>
        <v/>
      </c>
      <c r="G6">
        <f>G5-2026</f>
        <v/>
      </c>
      <c r="H6">
        <f>H5-2026</f>
        <v/>
      </c>
      <c r="I6">
        <f>I5-2026</f>
        <v/>
      </c>
      <c r="J6">
        <f>J5-2026</f>
        <v/>
      </c>
      <c r="K6">
        <f>K5-2026</f>
        <v/>
      </c>
      <c r="L6">
        <f>L5-2026</f>
        <v/>
      </c>
      <c r="M6">
        <f>M5-2026</f>
        <v/>
      </c>
      <c r="N6">
        <f>N5-2026</f>
        <v/>
      </c>
      <c r="O6">
        <f>O5-2026</f>
        <v/>
      </c>
      <c r="P6">
        <f>P5-2026</f>
        <v/>
      </c>
      <c r="Q6">
        <f>Q5-2026</f>
        <v/>
      </c>
      <c r="R6">
        <f>R5-2026</f>
        <v/>
      </c>
      <c r="S6">
        <f>S5-2026</f>
        <v/>
      </c>
      <c r="T6">
        <f>T5-2026</f>
        <v/>
      </c>
      <c r="U6">
        <f>U5-2026</f>
        <v/>
      </c>
      <c r="V6">
        <f>V5-2026</f>
        <v/>
      </c>
      <c r="W6">
        <f>W5-2026</f>
        <v/>
      </c>
      <c r="X6">
        <f>X5-2026</f>
        <v/>
      </c>
      <c r="Y6">
        <f>Y5-2026</f>
        <v/>
      </c>
      <c r="Z6">
        <f>Z5-2026</f>
        <v/>
      </c>
      <c r="AA6">
        <f>AA5-2026</f>
        <v/>
      </c>
      <c r="AB6">
        <f>AB5-2026</f>
        <v/>
      </c>
      <c r="AC6">
        <f>AC5-2026</f>
        <v/>
      </c>
      <c r="AD6">
        <f>AD5-2026</f>
        <v/>
      </c>
      <c r="AE6">
        <f>AE5-2026</f>
        <v/>
      </c>
      <c r="AF6">
        <f>AF5-2026</f>
        <v/>
      </c>
      <c r="AG6">
        <f>AG5-2026</f>
        <v/>
      </c>
      <c r="AH6">
        <f>AH5-2026</f>
        <v/>
      </c>
      <c r="AI6">
        <f>AI5-2026</f>
        <v/>
      </c>
      <c r="AJ6">
        <f>AJ5-2026</f>
        <v/>
      </c>
      <c r="AK6">
        <f>AK5-2026</f>
        <v/>
      </c>
      <c r="AL6">
        <f>AL5-2026</f>
        <v/>
      </c>
    </row>
    <row r="7">
      <c r="A7" s="9" t="inlineStr">
        <is>
          <t>HEADCOUNT FLAGS (1 = employed in month)</t>
        </is>
      </c>
      <c r="B7" s="10" t="n"/>
      <c r="C7" s="10" t="n"/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  <c r="M7" s="10" t="n"/>
      <c r="N7" s="10" t="n"/>
      <c r="O7" s="10" t="n"/>
      <c r="P7" s="10" t="n"/>
      <c r="Q7" s="10" t="n"/>
      <c r="R7" s="10" t="n"/>
      <c r="S7" s="10" t="n"/>
      <c r="T7" s="10" t="n"/>
      <c r="U7" s="10" t="n"/>
      <c r="V7" s="10" t="n"/>
      <c r="W7" s="10" t="n"/>
      <c r="X7" s="10" t="n"/>
      <c r="Y7" s="10" t="n"/>
      <c r="Z7" s="10" t="n"/>
      <c r="AA7" s="10" t="n"/>
      <c r="AB7" s="10" t="n"/>
      <c r="AC7" s="10" t="n"/>
      <c r="AD7" s="10" t="n"/>
      <c r="AE7" s="10" t="n"/>
      <c r="AF7" s="10" t="n"/>
      <c r="AG7" s="10" t="n"/>
      <c r="AH7" s="10" t="n"/>
      <c r="AI7" s="10" t="n"/>
      <c r="AJ7" s="10" t="n"/>
      <c r="AK7" s="10" t="n"/>
      <c r="AL7" s="10" t="n"/>
      <c r="AM7" s="10" t="n"/>
      <c r="AN7" s="10" t="n"/>
      <c r="AO7" s="10" t="n"/>
      <c r="AP7" s="10" t="n"/>
      <c r="AQ7" s="10" t="n"/>
    </row>
    <row r="8">
      <c r="A8" s="22" t="inlineStr">
        <is>
          <t>Founder</t>
        </is>
      </c>
      <c r="B8" s="4" t="inlineStr"/>
      <c r="C8" s="27">
        <f>IF(C3&gt;=Assumptions!$F$68,1,0)</f>
        <v/>
      </c>
      <c r="D8" s="27">
        <f>IF(D3&gt;=Assumptions!$F$68,1,0)</f>
        <v/>
      </c>
      <c r="E8" s="27">
        <f>IF(E3&gt;=Assumptions!$F$68,1,0)</f>
        <v/>
      </c>
      <c r="F8" s="27">
        <f>IF(F3&gt;=Assumptions!$F$68,1,0)</f>
        <v/>
      </c>
      <c r="G8" s="27">
        <f>IF(G3&gt;=Assumptions!$F$68,1,0)</f>
        <v/>
      </c>
      <c r="H8" s="27">
        <f>IF(H3&gt;=Assumptions!$F$68,1,0)</f>
        <v/>
      </c>
      <c r="I8" s="27">
        <f>IF(I3&gt;=Assumptions!$F$68,1,0)</f>
        <v/>
      </c>
      <c r="J8" s="27">
        <f>IF(J3&gt;=Assumptions!$F$68,1,0)</f>
        <v/>
      </c>
      <c r="K8" s="27">
        <f>IF(K3&gt;=Assumptions!$F$68,1,0)</f>
        <v/>
      </c>
      <c r="L8" s="27">
        <f>IF(L3&gt;=Assumptions!$F$68,1,0)</f>
        <v/>
      </c>
      <c r="M8" s="27">
        <f>IF(M3&gt;=Assumptions!$F$68,1,0)</f>
        <v/>
      </c>
      <c r="N8" s="27">
        <f>IF(N3&gt;=Assumptions!$F$68,1,0)</f>
        <v/>
      </c>
      <c r="O8" s="27">
        <f>IF(O3&gt;=Assumptions!$F$68,1,0)</f>
        <v/>
      </c>
      <c r="P8" s="27">
        <f>IF(P3&gt;=Assumptions!$F$68,1,0)</f>
        <v/>
      </c>
      <c r="Q8" s="27">
        <f>IF(Q3&gt;=Assumptions!$F$68,1,0)</f>
        <v/>
      </c>
      <c r="R8" s="27">
        <f>IF(R3&gt;=Assumptions!$F$68,1,0)</f>
        <v/>
      </c>
      <c r="S8" s="27">
        <f>IF(S3&gt;=Assumptions!$F$68,1,0)</f>
        <v/>
      </c>
      <c r="T8" s="27">
        <f>IF(T3&gt;=Assumptions!$F$68,1,0)</f>
        <v/>
      </c>
      <c r="U8" s="27">
        <f>IF(U3&gt;=Assumptions!$F$68,1,0)</f>
        <v/>
      </c>
      <c r="V8" s="27">
        <f>IF(V3&gt;=Assumptions!$F$68,1,0)</f>
        <v/>
      </c>
      <c r="W8" s="27">
        <f>IF(W3&gt;=Assumptions!$F$68,1,0)</f>
        <v/>
      </c>
      <c r="X8" s="27">
        <f>IF(X3&gt;=Assumptions!$F$68,1,0)</f>
        <v/>
      </c>
      <c r="Y8" s="27">
        <f>IF(Y3&gt;=Assumptions!$F$68,1,0)</f>
        <v/>
      </c>
      <c r="Z8" s="27">
        <f>IF(Z3&gt;=Assumptions!$F$68,1,0)</f>
        <v/>
      </c>
      <c r="AA8" s="27">
        <f>IF(AA3&gt;=Assumptions!$F$68,1,0)</f>
        <v/>
      </c>
      <c r="AB8" s="27">
        <f>IF(AB3&gt;=Assumptions!$F$68,1,0)</f>
        <v/>
      </c>
      <c r="AC8" s="27">
        <f>IF(AC3&gt;=Assumptions!$F$68,1,0)</f>
        <v/>
      </c>
      <c r="AD8" s="27">
        <f>IF(AD3&gt;=Assumptions!$F$68,1,0)</f>
        <v/>
      </c>
      <c r="AE8" s="27">
        <f>IF(AE3&gt;=Assumptions!$F$68,1,0)</f>
        <v/>
      </c>
      <c r="AF8" s="27">
        <f>IF(AF3&gt;=Assumptions!$F$68,1,0)</f>
        <v/>
      </c>
      <c r="AG8" s="27">
        <f>IF(AG3&gt;=Assumptions!$F$68,1,0)</f>
        <v/>
      </c>
      <c r="AH8" s="27">
        <f>IF(AH3&gt;=Assumptions!$F$68,1,0)</f>
        <v/>
      </c>
      <c r="AI8" s="27">
        <f>IF(AI3&gt;=Assumptions!$F$68,1,0)</f>
        <v/>
      </c>
      <c r="AJ8" s="27">
        <f>IF(AJ3&gt;=Assumptions!$F$68,1,0)</f>
        <v/>
      </c>
      <c r="AK8" s="27">
        <f>IF(AK3&gt;=Assumptions!$F$68,1,0)</f>
        <v/>
      </c>
      <c r="AL8" s="27">
        <f>IF(AL3&gt;=Assumptions!$F$68,1,0)</f>
        <v/>
      </c>
      <c r="AN8" s="27">
        <f>INDEX(C8:AL8,1,12)</f>
        <v/>
      </c>
      <c r="AO8" s="27">
        <f>INDEX(C8:AL8,1,24)</f>
        <v/>
      </c>
      <c r="AP8" s="27">
        <f>INDEX(C8:AL8,1,36)</f>
        <v/>
      </c>
      <c r="AQ8" s="27">
        <f>INDEX(C8:AL8,1,36)</f>
        <v/>
      </c>
    </row>
    <row r="9">
      <c r="A9" s="22" t="inlineStr">
        <is>
          <t>Product lead / CTO</t>
        </is>
      </c>
      <c r="B9" s="4" t="inlineStr"/>
      <c r="C9" s="27">
        <f>IF(C3&gt;=Assumptions!$F$70,1,0)</f>
        <v/>
      </c>
      <c r="D9" s="27">
        <f>IF(D3&gt;=Assumptions!$F$70,1,0)</f>
        <v/>
      </c>
      <c r="E9" s="27">
        <f>IF(E3&gt;=Assumptions!$F$70,1,0)</f>
        <v/>
      </c>
      <c r="F9" s="27">
        <f>IF(F3&gt;=Assumptions!$F$70,1,0)</f>
        <v/>
      </c>
      <c r="G9" s="27">
        <f>IF(G3&gt;=Assumptions!$F$70,1,0)</f>
        <v/>
      </c>
      <c r="H9" s="27">
        <f>IF(H3&gt;=Assumptions!$F$70,1,0)</f>
        <v/>
      </c>
      <c r="I9" s="27">
        <f>IF(I3&gt;=Assumptions!$F$70,1,0)</f>
        <v/>
      </c>
      <c r="J9" s="27">
        <f>IF(J3&gt;=Assumptions!$F$70,1,0)</f>
        <v/>
      </c>
      <c r="K9" s="27">
        <f>IF(K3&gt;=Assumptions!$F$70,1,0)</f>
        <v/>
      </c>
      <c r="L9" s="27">
        <f>IF(L3&gt;=Assumptions!$F$70,1,0)</f>
        <v/>
      </c>
      <c r="M9" s="27">
        <f>IF(M3&gt;=Assumptions!$F$70,1,0)</f>
        <v/>
      </c>
      <c r="N9" s="27">
        <f>IF(N3&gt;=Assumptions!$F$70,1,0)</f>
        <v/>
      </c>
      <c r="O9" s="27">
        <f>IF(O3&gt;=Assumptions!$F$70,1,0)</f>
        <v/>
      </c>
      <c r="P9" s="27">
        <f>IF(P3&gt;=Assumptions!$F$70,1,0)</f>
        <v/>
      </c>
      <c r="Q9" s="27">
        <f>IF(Q3&gt;=Assumptions!$F$70,1,0)</f>
        <v/>
      </c>
      <c r="R9" s="27">
        <f>IF(R3&gt;=Assumptions!$F$70,1,0)</f>
        <v/>
      </c>
      <c r="S9" s="27">
        <f>IF(S3&gt;=Assumptions!$F$70,1,0)</f>
        <v/>
      </c>
      <c r="T9" s="27">
        <f>IF(T3&gt;=Assumptions!$F$70,1,0)</f>
        <v/>
      </c>
      <c r="U9" s="27">
        <f>IF(U3&gt;=Assumptions!$F$70,1,0)</f>
        <v/>
      </c>
      <c r="V9" s="27">
        <f>IF(V3&gt;=Assumptions!$F$70,1,0)</f>
        <v/>
      </c>
      <c r="W9" s="27">
        <f>IF(W3&gt;=Assumptions!$F$70,1,0)</f>
        <v/>
      </c>
      <c r="X9" s="27">
        <f>IF(X3&gt;=Assumptions!$F$70,1,0)</f>
        <v/>
      </c>
      <c r="Y9" s="27">
        <f>IF(Y3&gt;=Assumptions!$F$70,1,0)</f>
        <v/>
      </c>
      <c r="Z9" s="27">
        <f>IF(Z3&gt;=Assumptions!$F$70,1,0)</f>
        <v/>
      </c>
      <c r="AA9" s="27">
        <f>IF(AA3&gt;=Assumptions!$F$70,1,0)</f>
        <v/>
      </c>
      <c r="AB9" s="27">
        <f>IF(AB3&gt;=Assumptions!$F$70,1,0)</f>
        <v/>
      </c>
      <c r="AC9" s="27">
        <f>IF(AC3&gt;=Assumptions!$F$70,1,0)</f>
        <v/>
      </c>
      <c r="AD9" s="27">
        <f>IF(AD3&gt;=Assumptions!$F$70,1,0)</f>
        <v/>
      </c>
      <c r="AE9" s="27">
        <f>IF(AE3&gt;=Assumptions!$F$70,1,0)</f>
        <v/>
      </c>
      <c r="AF9" s="27">
        <f>IF(AF3&gt;=Assumptions!$F$70,1,0)</f>
        <v/>
      </c>
      <c r="AG9" s="27">
        <f>IF(AG3&gt;=Assumptions!$F$70,1,0)</f>
        <v/>
      </c>
      <c r="AH9" s="27">
        <f>IF(AH3&gt;=Assumptions!$F$70,1,0)</f>
        <v/>
      </c>
      <c r="AI9" s="27">
        <f>IF(AI3&gt;=Assumptions!$F$70,1,0)</f>
        <v/>
      </c>
      <c r="AJ9" s="27">
        <f>IF(AJ3&gt;=Assumptions!$F$70,1,0)</f>
        <v/>
      </c>
      <c r="AK9" s="27">
        <f>IF(AK3&gt;=Assumptions!$F$70,1,0)</f>
        <v/>
      </c>
      <c r="AL9" s="27">
        <f>IF(AL3&gt;=Assumptions!$F$70,1,0)</f>
        <v/>
      </c>
      <c r="AN9" s="27">
        <f>INDEX(C9:AL9,1,12)</f>
        <v/>
      </c>
      <c r="AO9" s="27">
        <f>INDEX(C9:AL9,1,24)</f>
        <v/>
      </c>
      <c r="AP9" s="27">
        <f>INDEX(C9:AL9,1,36)</f>
        <v/>
      </c>
      <c r="AQ9" s="27">
        <f>INDEX(C9:AL9,1,36)</f>
        <v/>
      </c>
    </row>
    <row r="10">
      <c r="A10" s="22" t="inlineStr">
        <is>
          <t>Developer 1</t>
        </is>
      </c>
      <c r="B10" s="4" t="inlineStr"/>
      <c r="C10" s="27">
        <f>IF(C3&gt;=Assumptions!$F$72,1,0)</f>
        <v/>
      </c>
      <c r="D10" s="27">
        <f>IF(D3&gt;=Assumptions!$F$72,1,0)</f>
        <v/>
      </c>
      <c r="E10" s="27">
        <f>IF(E3&gt;=Assumptions!$F$72,1,0)</f>
        <v/>
      </c>
      <c r="F10" s="27">
        <f>IF(F3&gt;=Assumptions!$F$72,1,0)</f>
        <v/>
      </c>
      <c r="G10" s="27">
        <f>IF(G3&gt;=Assumptions!$F$72,1,0)</f>
        <v/>
      </c>
      <c r="H10" s="27">
        <f>IF(H3&gt;=Assumptions!$F$72,1,0)</f>
        <v/>
      </c>
      <c r="I10" s="27">
        <f>IF(I3&gt;=Assumptions!$F$72,1,0)</f>
        <v/>
      </c>
      <c r="J10" s="27">
        <f>IF(J3&gt;=Assumptions!$F$72,1,0)</f>
        <v/>
      </c>
      <c r="K10" s="27">
        <f>IF(K3&gt;=Assumptions!$F$72,1,0)</f>
        <v/>
      </c>
      <c r="L10" s="27">
        <f>IF(L3&gt;=Assumptions!$F$72,1,0)</f>
        <v/>
      </c>
      <c r="M10" s="27">
        <f>IF(M3&gt;=Assumptions!$F$72,1,0)</f>
        <v/>
      </c>
      <c r="N10" s="27">
        <f>IF(N3&gt;=Assumptions!$F$72,1,0)</f>
        <v/>
      </c>
      <c r="O10" s="27">
        <f>IF(O3&gt;=Assumptions!$F$72,1,0)</f>
        <v/>
      </c>
      <c r="P10" s="27">
        <f>IF(P3&gt;=Assumptions!$F$72,1,0)</f>
        <v/>
      </c>
      <c r="Q10" s="27">
        <f>IF(Q3&gt;=Assumptions!$F$72,1,0)</f>
        <v/>
      </c>
      <c r="R10" s="27">
        <f>IF(R3&gt;=Assumptions!$F$72,1,0)</f>
        <v/>
      </c>
      <c r="S10" s="27">
        <f>IF(S3&gt;=Assumptions!$F$72,1,0)</f>
        <v/>
      </c>
      <c r="T10" s="27">
        <f>IF(T3&gt;=Assumptions!$F$72,1,0)</f>
        <v/>
      </c>
      <c r="U10" s="27">
        <f>IF(U3&gt;=Assumptions!$F$72,1,0)</f>
        <v/>
      </c>
      <c r="V10" s="27">
        <f>IF(V3&gt;=Assumptions!$F$72,1,0)</f>
        <v/>
      </c>
      <c r="W10" s="27">
        <f>IF(W3&gt;=Assumptions!$F$72,1,0)</f>
        <v/>
      </c>
      <c r="X10" s="27">
        <f>IF(X3&gt;=Assumptions!$F$72,1,0)</f>
        <v/>
      </c>
      <c r="Y10" s="27">
        <f>IF(Y3&gt;=Assumptions!$F$72,1,0)</f>
        <v/>
      </c>
      <c r="Z10" s="27">
        <f>IF(Z3&gt;=Assumptions!$F$72,1,0)</f>
        <v/>
      </c>
      <c r="AA10" s="27">
        <f>IF(AA3&gt;=Assumptions!$F$72,1,0)</f>
        <v/>
      </c>
      <c r="AB10" s="27">
        <f>IF(AB3&gt;=Assumptions!$F$72,1,0)</f>
        <v/>
      </c>
      <c r="AC10" s="27">
        <f>IF(AC3&gt;=Assumptions!$F$72,1,0)</f>
        <v/>
      </c>
      <c r="AD10" s="27">
        <f>IF(AD3&gt;=Assumptions!$F$72,1,0)</f>
        <v/>
      </c>
      <c r="AE10" s="27">
        <f>IF(AE3&gt;=Assumptions!$F$72,1,0)</f>
        <v/>
      </c>
      <c r="AF10" s="27">
        <f>IF(AF3&gt;=Assumptions!$F$72,1,0)</f>
        <v/>
      </c>
      <c r="AG10" s="27">
        <f>IF(AG3&gt;=Assumptions!$F$72,1,0)</f>
        <v/>
      </c>
      <c r="AH10" s="27">
        <f>IF(AH3&gt;=Assumptions!$F$72,1,0)</f>
        <v/>
      </c>
      <c r="AI10" s="27">
        <f>IF(AI3&gt;=Assumptions!$F$72,1,0)</f>
        <v/>
      </c>
      <c r="AJ10" s="27">
        <f>IF(AJ3&gt;=Assumptions!$F$72,1,0)</f>
        <v/>
      </c>
      <c r="AK10" s="27">
        <f>IF(AK3&gt;=Assumptions!$F$72,1,0)</f>
        <v/>
      </c>
      <c r="AL10" s="27">
        <f>IF(AL3&gt;=Assumptions!$F$72,1,0)</f>
        <v/>
      </c>
      <c r="AN10" s="27">
        <f>INDEX(C10:AL10,1,12)</f>
        <v/>
      </c>
      <c r="AO10" s="27">
        <f>INDEX(C10:AL10,1,24)</f>
        <v/>
      </c>
      <c r="AP10" s="27">
        <f>INDEX(C10:AL10,1,36)</f>
        <v/>
      </c>
      <c r="AQ10" s="27">
        <f>INDEX(C10:AL10,1,36)</f>
        <v/>
      </c>
    </row>
    <row r="11">
      <c r="A11" s="22" t="inlineStr">
        <is>
          <t>Developer 2</t>
        </is>
      </c>
      <c r="B11" s="4" t="inlineStr"/>
      <c r="C11" s="27">
        <f>IF(C3&gt;=Assumptions!$F$74,1,0)</f>
        <v/>
      </c>
      <c r="D11" s="27">
        <f>IF(D3&gt;=Assumptions!$F$74,1,0)</f>
        <v/>
      </c>
      <c r="E11" s="27">
        <f>IF(E3&gt;=Assumptions!$F$74,1,0)</f>
        <v/>
      </c>
      <c r="F11" s="27">
        <f>IF(F3&gt;=Assumptions!$F$74,1,0)</f>
        <v/>
      </c>
      <c r="G11" s="27">
        <f>IF(G3&gt;=Assumptions!$F$74,1,0)</f>
        <v/>
      </c>
      <c r="H11" s="27">
        <f>IF(H3&gt;=Assumptions!$F$74,1,0)</f>
        <v/>
      </c>
      <c r="I11" s="27">
        <f>IF(I3&gt;=Assumptions!$F$74,1,0)</f>
        <v/>
      </c>
      <c r="J11" s="27">
        <f>IF(J3&gt;=Assumptions!$F$74,1,0)</f>
        <v/>
      </c>
      <c r="K11" s="27">
        <f>IF(K3&gt;=Assumptions!$F$74,1,0)</f>
        <v/>
      </c>
      <c r="L11" s="27">
        <f>IF(L3&gt;=Assumptions!$F$74,1,0)</f>
        <v/>
      </c>
      <c r="M11" s="27">
        <f>IF(M3&gt;=Assumptions!$F$74,1,0)</f>
        <v/>
      </c>
      <c r="N11" s="27">
        <f>IF(N3&gt;=Assumptions!$F$74,1,0)</f>
        <v/>
      </c>
      <c r="O11" s="27">
        <f>IF(O3&gt;=Assumptions!$F$74,1,0)</f>
        <v/>
      </c>
      <c r="P11" s="27">
        <f>IF(P3&gt;=Assumptions!$F$74,1,0)</f>
        <v/>
      </c>
      <c r="Q11" s="27">
        <f>IF(Q3&gt;=Assumptions!$F$74,1,0)</f>
        <v/>
      </c>
      <c r="R11" s="27">
        <f>IF(R3&gt;=Assumptions!$F$74,1,0)</f>
        <v/>
      </c>
      <c r="S11" s="27">
        <f>IF(S3&gt;=Assumptions!$F$74,1,0)</f>
        <v/>
      </c>
      <c r="T11" s="27">
        <f>IF(T3&gt;=Assumptions!$F$74,1,0)</f>
        <v/>
      </c>
      <c r="U11" s="27">
        <f>IF(U3&gt;=Assumptions!$F$74,1,0)</f>
        <v/>
      </c>
      <c r="V11" s="27">
        <f>IF(V3&gt;=Assumptions!$F$74,1,0)</f>
        <v/>
      </c>
      <c r="W11" s="27">
        <f>IF(W3&gt;=Assumptions!$F$74,1,0)</f>
        <v/>
      </c>
      <c r="X11" s="27">
        <f>IF(X3&gt;=Assumptions!$F$74,1,0)</f>
        <v/>
      </c>
      <c r="Y11" s="27">
        <f>IF(Y3&gt;=Assumptions!$F$74,1,0)</f>
        <v/>
      </c>
      <c r="Z11" s="27">
        <f>IF(Z3&gt;=Assumptions!$F$74,1,0)</f>
        <v/>
      </c>
      <c r="AA11" s="27">
        <f>IF(AA3&gt;=Assumptions!$F$74,1,0)</f>
        <v/>
      </c>
      <c r="AB11" s="27">
        <f>IF(AB3&gt;=Assumptions!$F$74,1,0)</f>
        <v/>
      </c>
      <c r="AC11" s="27">
        <f>IF(AC3&gt;=Assumptions!$F$74,1,0)</f>
        <v/>
      </c>
      <c r="AD11" s="27">
        <f>IF(AD3&gt;=Assumptions!$F$74,1,0)</f>
        <v/>
      </c>
      <c r="AE11" s="27">
        <f>IF(AE3&gt;=Assumptions!$F$74,1,0)</f>
        <v/>
      </c>
      <c r="AF11" s="27">
        <f>IF(AF3&gt;=Assumptions!$F$74,1,0)</f>
        <v/>
      </c>
      <c r="AG11" s="27">
        <f>IF(AG3&gt;=Assumptions!$F$74,1,0)</f>
        <v/>
      </c>
      <c r="AH11" s="27">
        <f>IF(AH3&gt;=Assumptions!$F$74,1,0)</f>
        <v/>
      </c>
      <c r="AI11" s="27">
        <f>IF(AI3&gt;=Assumptions!$F$74,1,0)</f>
        <v/>
      </c>
      <c r="AJ11" s="27">
        <f>IF(AJ3&gt;=Assumptions!$F$74,1,0)</f>
        <v/>
      </c>
      <c r="AK11" s="27">
        <f>IF(AK3&gt;=Assumptions!$F$74,1,0)</f>
        <v/>
      </c>
      <c r="AL11" s="27">
        <f>IF(AL3&gt;=Assumptions!$F$74,1,0)</f>
        <v/>
      </c>
      <c r="AN11" s="27">
        <f>INDEX(C11:AL11,1,12)</f>
        <v/>
      </c>
      <c r="AO11" s="27">
        <f>INDEX(C11:AL11,1,24)</f>
        <v/>
      </c>
      <c r="AP11" s="27">
        <f>INDEX(C11:AL11,1,36)</f>
        <v/>
      </c>
      <c r="AQ11" s="27">
        <f>INDEX(C11:AL11,1,36)</f>
        <v/>
      </c>
    </row>
    <row r="12">
      <c r="A12" s="22" t="inlineStr">
        <is>
          <t>Developer 3</t>
        </is>
      </c>
      <c r="B12" s="4" t="inlineStr"/>
      <c r="C12" s="27">
        <f>IF(C3&gt;=Assumptions!$F$76,1,0)</f>
        <v/>
      </c>
      <c r="D12" s="27">
        <f>IF(D3&gt;=Assumptions!$F$76,1,0)</f>
        <v/>
      </c>
      <c r="E12" s="27">
        <f>IF(E3&gt;=Assumptions!$F$76,1,0)</f>
        <v/>
      </c>
      <c r="F12" s="27">
        <f>IF(F3&gt;=Assumptions!$F$76,1,0)</f>
        <v/>
      </c>
      <c r="G12" s="27">
        <f>IF(G3&gt;=Assumptions!$F$76,1,0)</f>
        <v/>
      </c>
      <c r="H12" s="27">
        <f>IF(H3&gt;=Assumptions!$F$76,1,0)</f>
        <v/>
      </c>
      <c r="I12" s="27">
        <f>IF(I3&gt;=Assumptions!$F$76,1,0)</f>
        <v/>
      </c>
      <c r="J12" s="27">
        <f>IF(J3&gt;=Assumptions!$F$76,1,0)</f>
        <v/>
      </c>
      <c r="K12" s="27">
        <f>IF(K3&gt;=Assumptions!$F$76,1,0)</f>
        <v/>
      </c>
      <c r="L12" s="27">
        <f>IF(L3&gt;=Assumptions!$F$76,1,0)</f>
        <v/>
      </c>
      <c r="M12" s="27">
        <f>IF(M3&gt;=Assumptions!$F$76,1,0)</f>
        <v/>
      </c>
      <c r="N12" s="27">
        <f>IF(N3&gt;=Assumptions!$F$76,1,0)</f>
        <v/>
      </c>
      <c r="O12" s="27">
        <f>IF(O3&gt;=Assumptions!$F$76,1,0)</f>
        <v/>
      </c>
      <c r="P12" s="27">
        <f>IF(P3&gt;=Assumptions!$F$76,1,0)</f>
        <v/>
      </c>
      <c r="Q12" s="27">
        <f>IF(Q3&gt;=Assumptions!$F$76,1,0)</f>
        <v/>
      </c>
      <c r="R12" s="27">
        <f>IF(R3&gt;=Assumptions!$F$76,1,0)</f>
        <v/>
      </c>
      <c r="S12" s="27">
        <f>IF(S3&gt;=Assumptions!$F$76,1,0)</f>
        <v/>
      </c>
      <c r="T12" s="27">
        <f>IF(T3&gt;=Assumptions!$F$76,1,0)</f>
        <v/>
      </c>
      <c r="U12" s="27">
        <f>IF(U3&gt;=Assumptions!$F$76,1,0)</f>
        <v/>
      </c>
      <c r="V12" s="27">
        <f>IF(V3&gt;=Assumptions!$F$76,1,0)</f>
        <v/>
      </c>
      <c r="W12" s="27">
        <f>IF(W3&gt;=Assumptions!$F$76,1,0)</f>
        <v/>
      </c>
      <c r="X12" s="27">
        <f>IF(X3&gt;=Assumptions!$F$76,1,0)</f>
        <v/>
      </c>
      <c r="Y12" s="27">
        <f>IF(Y3&gt;=Assumptions!$F$76,1,0)</f>
        <v/>
      </c>
      <c r="Z12" s="27">
        <f>IF(Z3&gt;=Assumptions!$F$76,1,0)</f>
        <v/>
      </c>
      <c r="AA12" s="27">
        <f>IF(AA3&gt;=Assumptions!$F$76,1,0)</f>
        <v/>
      </c>
      <c r="AB12" s="27">
        <f>IF(AB3&gt;=Assumptions!$F$76,1,0)</f>
        <v/>
      </c>
      <c r="AC12" s="27">
        <f>IF(AC3&gt;=Assumptions!$F$76,1,0)</f>
        <v/>
      </c>
      <c r="AD12" s="27">
        <f>IF(AD3&gt;=Assumptions!$F$76,1,0)</f>
        <v/>
      </c>
      <c r="AE12" s="27">
        <f>IF(AE3&gt;=Assumptions!$F$76,1,0)</f>
        <v/>
      </c>
      <c r="AF12" s="27">
        <f>IF(AF3&gt;=Assumptions!$F$76,1,0)</f>
        <v/>
      </c>
      <c r="AG12" s="27">
        <f>IF(AG3&gt;=Assumptions!$F$76,1,0)</f>
        <v/>
      </c>
      <c r="AH12" s="27">
        <f>IF(AH3&gt;=Assumptions!$F$76,1,0)</f>
        <v/>
      </c>
      <c r="AI12" s="27">
        <f>IF(AI3&gt;=Assumptions!$F$76,1,0)</f>
        <v/>
      </c>
      <c r="AJ12" s="27">
        <f>IF(AJ3&gt;=Assumptions!$F$76,1,0)</f>
        <v/>
      </c>
      <c r="AK12" s="27">
        <f>IF(AK3&gt;=Assumptions!$F$76,1,0)</f>
        <v/>
      </c>
      <c r="AL12" s="27">
        <f>IF(AL3&gt;=Assumptions!$F$76,1,0)</f>
        <v/>
      </c>
      <c r="AN12" s="27">
        <f>INDEX(C12:AL12,1,12)</f>
        <v/>
      </c>
      <c r="AO12" s="27">
        <f>INDEX(C12:AL12,1,24)</f>
        <v/>
      </c>
      <c r="AP12" s="27">
        <f>INDEX(C12:AL12,1,36)</f>
        <v/>
      </c>
      <c r="AQ12" s="27">
        <f>INDEX(C12:AL12,1,36)</f>
        <v/>
      </c>
    </row>
    <row r="13">
      <c r="A13" s="22" t="inlineStr">
        <is>
          <t>BD / sales lead</t>
        </is>
      </c>
      <c r="B13" s="4" t="inlineStr"/>
      <c r="C13" s="27">
        <f>IF(C3&gt;=Assumptions!$F$78,1,0)</f>
        <v/>
      </c>
      <c r="D13" s="27">
        <f>IF(D3&gt;=Assumptions!$F$78,1,0)</f>
        <v/>
      </c>
      <c r="E13" s="27">
        <f>IF(E3&gt;=Assumptions!$F$78,1,0)</f>
        <v/>
      </c>
      <c r="F13" s="27">
        <f>IF(F3&gt;=Assumptions!$F$78,1,0)</f>
        <v/>
      </c>
      <c r="G13" s="27">
        <f>IF(G3&gt;=Assumptions!$F$78,1,0)</f>
        <v/>
      </c>
      <c r="H13" s="27">
        <f>IF(H3&gt;=Assumptions!$F$78,1,0)</f>
        <v/>
      </c>
      <c r="I13" s="27">
        <f>IF(I3&gt;=Assumptions!$F$78,1,0)</f>
        <v/>
      </c>
      <c r="J13" s="27">
        <f>IF(J3&gt;=Assumptions!$F$78,1,0)</f>
        <v/>
      </c>
      <c r="K13" s="27">
        <f>IF(K3&gt;=Assumptions!$F$78,1,0)</f>
        <v/>
      </c>
      <c r="L13" s="27">
        <f>IF(L3&gt;=Assumptions!$F$78,1,0)</f>
        <v/>
      </c>
      <c r="M13" s="27">
        <f>IF(M3&gt;=Assumptions!$F$78,1,0)</f>
        <v/>
      </c>
      <c r="N13" s="27">
        <f>IF(N3&gt;=Assumptions!$F$78,1,0)</f>
        <v/>
      </c>
      <c r="O13" s="27">
        <f>IF(O3&gt;=Assumptions!$F$78,1,0)</f>
        <v/>
      </c>
      <c r="P13" s="27">
        <f>IF(P3&gt;=Assumptions!$F$78,1,0)</f>
        <v/>
      </c>
      <c r="Q13" s="27">
        <f>IF(Q3&gt;=Assumptions!$F$78,1,0)</f>
        <v/>
      </c>
      <c r="R13" s="27">
        <f>IF(R3&gt;=Assumptions!$F$78,1,0)</f>
        <v/>
      </c>
      <c r="S13" s="27">
        <f>IF(S3&gt;=Assumptions!$F$78,1,0)</f>
        <v/>
      </c>
      <c r="T13" s="27">
        <f>IF(T3&gt;=Assumptions!$F$78,1,0)</f>
        <v/>
      </c>
      <c r="U13" s="27">
        <f>IF(U3&gt;=Assumptions!$F$78,1,0)</f>
        <v/>
      </c>
      <c r="V13" s="27">
        <f>IF(V3&gt;=Assumptions!$F$78,1,0)</f>
        <v/>
      </c>
      <c r="W13" s="27">
        <f>IF(W3&gt;=Assumptions!$F$78,1,0)</f>
        <v/>
      </c>
      <c r="X13" s="27">
        <f>IF(X3&gt;=Assumptions!$F$78,1,0)</f>
        <v/>
      </c>
      <c r="Y13" s="27">
        <f>IF(Y3&gt;=Assumptions!$F$78,1,0)</f>
        <v/>
      </c>
      <c r="Z13" s="27">
        <f>IF(Z3&gt;=Assumptions!$F$78,1,0)</f>
        <v/>
      </c>
      <c r="AA13" s="27">
        <f>IF(AA3&gt;=Assumptions!$F$78,1,0)</f>
        <v/>
      </c>
      <c r="AB13" s="27">
        <f>IF(AB3&gt;=Assumptions!$F$78,1,0)</f>
        <v/>
      </c>
      <c r="AC13" s="27">
        <f>IF(AC3&gt;=Assumptions!$F$78,1,0)</f>
        <v/>
      </c>
      <c r="AD13" s="27">
        <f>IF(AD3&gt;=Assumptions!$F$78,1,0)</f>
        <v/>
      </c>
      <c r="AE13" s="27">
        <f>IF(AE3&gt;=Assumptions!$F$78,1,0)</f>
        <v/>
      </c>
      <c r="AF13" s="27">
        <f>IF(AF3&gt;=Assumptions!$F$78,1,0)</f>
        <v/>
      </c>
      <c r="AG13" s="27">
        <f>IF(AG3&gt;=Assumptions!$F$78,1,0)</f>
        <v/>
      </c>
      <c r="AH13" s="27">
        <f>IF(AH3&gt;=Assumptions!$F$78,1,0)</f>
        <v/>
      </c>
      <c r="AI13" s="27">
        <f>IF(AI3&gt;=Assumptions!$F$78,1,0)</f>
        <v/>
      </c>
      <c r="AJ13" s="27">
        <f>IF(AJ3&gt;=Assumptions!$F$78,1,0)</f>
        <v/>
      </c>
      <c r="AK13" s="27">
        <f>IF(AK3&gt;=Assumptions!$F$78,1,0)</f>
        <v/>
      </c>
      <c r="AL13" s="27">
        <f>IF(AL3&gt;=Assumptions!$F$78,1,0)</f>
        <v/>
      </c>
      <c r="AN13" s="27">
        <f>INDEX(C13:AL13,1,12)</f>
        <v/>
      </c>
      <c r="AO13" s="27">
        <f>INDEX(C13:AL13,1,24)</f>
        <v/>
      </c>
      <c r="AP13" s="27">
        <f>INDEX(C13:AL13,1,36)</f>
        <v/>
      </c>
      <c r="AQ13" s="27">
        <f>INDEX(C13:AL13,1,36)</f>
        <v/>
      </c>
    </row>
    <row r="14">
      <c r="A14" s="22" t="inlineStr">
        <is>
          <t>Programme manager (Nigeria)</t>
        </is>
      </c>
      <c r="B14" s="4" t="inlineStr"/>
      <c r="C14" s="27">
        <f>IF(C3&gt;=Assumptions!$F$80,1,0)</f>
        <v/>
      </c>
      <c r="D14" s="27">
        <f>IF(D3&gt;=Assumptions!$F$80,1,0)</f>
        <v/>
      </c>
      <c r="E14" s="27">
        <f>IF(E3&gt;=Assumptions!$F$80,1,0)</f>
        <v/>
      </c>
      <c r="F14" s="27">
        <f>IF(F3&gt;=Assumptions!$F$80,1,0)</f>
        <v/>
      </c>
      <c r="G14" s="27">
        <f>IF(G3&gt;=Assumptions!$F$80,1,0)</f>
        <v/>
      </c>
      <c r="H14" s="27">
        <f>IF(H3&gt;=Assumptions!$F$80,1,0)</f>
        <v/>
      </c>
      <c r="I14" s="27">
        <f>IF(I3&gt;=Assumptions!$F$80,1,0)</f>
        <v/>
      </c>
      <c r="J14" s="27">
        <f>IF(J3&gt;=Assumptions!$F$80,1,0)</f>
        <v/>
      </c>
      <c r="K14" s="27">
        <f>IF(K3&gt;=Assumptions!$F$80,1,0)</f>
        <v/>
      </c>
      <c r="L14" s="27">
        <f>IF(L3&gt;=Assumptions!$F$80,1,0)</f>
        <v/>
      </c>
      <c r="M14" s="27">
        <f>IF(M3&gt;=Assumptions!$F$80,1,0)</f>
        <v/>
      </c>
      <c r="N14" s="27">
        <f>IF(N3&gt;=Assumptions!$F$80,1,0)</f>
        <v/>
      </c>
      <c r="O14" s="27">
        <f>IF(O3&gt;=Assumptions!$F$80,1,0)</f>
        <v/>
      </c>
      <c r="P14" s="27">
        <f>IF(P3&gt;=Assumptions!$F$80,1,0)</f>
        <v/>
      </c>
      <c r="Q14" s="27">
        <f>IF(Q3&gt;=Assumptions!$F$80,1,0)</f>
        <v/>
      </c>
      <c r="R14" s="27">
        <f>IF(R3&gt;=Assumptions!$F$80,1,0)</f>
        <v/>
      </c>
      <c r="S14" s="27">
        <f>IF(S3&gt;=Assumptions!$F$80,1,0)</f>
        <v/>
      </c>
      <c r="T14" s="27">
        <f>IF(T3&gt;=Assumptions!$F$80,1,0)</f>
        <v/>
      </c>
      <c r="U14" s="27">
        <f>IF(U3&gt;=Assumptions!$F$80,1,0)</f>
        <v/>
      </c>
      <c r="V14" s="27">
        <f>IF(V3&gt;=Assumptions!$F$80,1,0)</f>
        <v/>
      </c>
      <c r="W14" s="27">
        <f>IF(W3&gt;=Assumptions!$F$80,1,0)</f>
        <v/>
      </c>
      <c r="X14" s="27">
        <f>IF(X3&gt;=Assumptions!$F$80,1,0)</f>
        <v/>
      </c>
      <c r="Y14" s="27">
        <f>IF(Y3&gt;=Assumptions!$F$80,1,0)</f>
        <v/>
      </c>
      <c r="Z14" s="27">
        <f>IF(Z3&gt;=Assumptions!$F$80,1,0)</f>
        <v/>
      </c>
      <c r="AA14" s="27">
        <f>IF(AA3&gt;=Assumptions!$F$80,1,0)</f>
        <v/>
      </c>
      <c r="AB14" s="27">
        <f>IF(AB3&gt;=Assumptions!$F$80,1,0)</f>
        <v/>
      </c>
      <c r="AC14" s="27">
        <f>IF(AC3&gt;=Assumptions!$F$80,1,0)</f>
        <v/>
      </c>
      <c r="AD14" s="27">
        <f>IF(AD3&gt;=Assumptions!$F$80,1,0)</f>
        <v/>
      </c>
      <c r="AE14" s="27">
        <f>IF(AE3&gt;=Assumptions!$F$80,1,0)</f>
        <v/>
      </c>
      <c r="AF14" s="27">
        <f>IF(AF3&gt;=Assumptions!$F$80,1,0)</f>
        <v/>
      </c>
      <c r="AG14" s="27">
        <f>IF(AG3&gt;=Assumptions!$F$80,1,0)</f>
        <v/>
      </c>
      <c r="AH14" s="27">
        <f>IF(AH3&gt;=Assumptions!$F$80,1,0)</f>
        <v/>
      </c>
      <c r="AI14" s="27">
        <f>IF(AI3&gt;=Assumptions!$F$80,1,0)</f>
        <v/>
      </c>
      <c r="AJ14" s="27">
        <f>IF(AJ3&gt;=Assumptions!$F$80,1,0)</f>
        <v/>
      </c>
      <c r="AK14" s="27">
        <f>IF(AK3&gt;=Assumptions!$F$80,1,0)</f>
        <v/>
      </c>
      <c r="AL14" s="27">
        <f>IF(AL3&gt;=Assumptions!$F$80,1,0)</f>
        <v/>
      </c>
      <c r="AN14" s="27">
        <f>INDEX(C14:AL14,1,12)</f>
        <v/>
      </c>
      <c r="AO14" s="27">
        <f>INDEX(C14:AL14,1,24)</f>
        <v/>
      </c>
      <c r="AP14" s="27">
        <f>INDEX(C14:AL14,1,36)</f>
        <v/>
      </c>
      <c r="AQ14" s="27">
        <f>INDEX(C14:AL14,1,36)</f>
        <v/>
      </c>
    </row>
    <row r="15">
      <c r="A15" s="22" t="inlineStr">
        <is>
          <t>Clinical lead (midwife/obstetrician)</t>
        </is>
      </c>
      <c r="B15" s="4" t="inlineStr"/>
      <c r="C15" s="27">
        <f>IF(C3&gt;=Assumptions!$F$82,1,0)</f>
        <v/>
      </c>
      <c r="D15" s="27">
        <f>IF(D3&gt;=Assumptions!$F$82,1,0)</f>
        <v/>
      </c>
      <c r="E15" s="27">
        <f>IF(E3&gt;=Assumptions!$F$82,1,0)</f>
        <v/>
      </c>
      <c r="F15" s="27">
        <f>IF(F3&gt;=Assumptions!$F$82,1,0)</f>
        <v/>
      </c>
      <c r="G15" s="27">
        <f>IF(G3&gt;=Assumptions!$F$82,1,0)</f>
        <v/>
      </c>
      <c r="H15" s="27">
        <f>IF(H3&gt;=Assumptions!$F$82,1,0)</f>
        <v/>
      </c>
      <c r="I15" s="27">
        <f>IF(I3&gt;=Assumptions!$F$82,1,0)</f>
        <v/>
      </c>
      <c r="J15" s="27">
        <f>IF(J3&gt;=Assumptions!$F$82,1,0)</f>
        <v/>
      </c>
      <c r="K15" s="27">
        <f>IF(K3&gt;=Assumptions!$F$82,1,0)</f>
        <v/>
      </c>
      <c r="L15" s="27">
        <f>IF(L3&gt;=Assumptions!$F$82,1,0)</f>
        <v/>
      </c>
      <c r="M15" s="27">
        <f>IF(M3&gt;=Assumptions!$F$82,1,0)</f>
        <v/>
      </c>
      <c r="N15" s="27">
        <f>IF(N3&gt;=Assumptions!$F$82,1,0)</f>
        <v/>
      </c>
      <c r="O15" s="27">
        <f>IF(O3&gt;=Assumptions!$F$82,1,0)</f>
        <v/>
      </c>
      <c r="P15" s="27">
        <f>IF(P3&gt;=Assumptions!$F$82,1,0)</f>
        <v/>
      </c>
      <c r="Q15" s="27">
        <f>IF(Q3&gt;=Assumptions!$F$82,1,0)</f>
        <v/>
      </c>
      <c r="R15" s="27">
        <f>IF(R3&gt;=Assumptions!$F$82,1,0)</f>
        <v/>
      </c>
      <c r="S15" s="27">
        <f>IF(S3&gt;=Assumptions!$F$82,1,0)</f>
        <v/>
      </c>
      <c r="T15" s="27">
        <f>IF(T3&gt;=Assumptions!$F$82,1,0)</f>
        <v/>
      </c>
      <c r="U15" s="27">
        <f>IF(U3&gt;=Assumptions!$F$82,1,0)</f>
        <v/>
      </c>
      <c r="V15" s="27">
        <f>IF(V3&gt;=Assumptions!$F$82,1,0)</f>
        <v/>
      </c>
      <c r="W15" s="27">
        <f>IF(W3&gt;=Assumptions!$F$82,1,0)</f>
        <v/>
      </c>
      <c r="X15" s="27">
        <f>IF(X3&gt;=Assumptions!$F$82,1,0)</f>
        <v/>
      </c>
      <c r="Y15" s="27">
        <f>IF(Y3&gt;=Assumptions!$F$82,1,0)</f>
        <v/>
      </c>
      <c r="Z15" s="27">
        <f>IF(Z3&gt;=Assumptions!$F$82,1,0)</f>
        <v/>
      </c>
      <c r="AA15" s="27">
        <f>IF(AA3&gt;=Assumptions!$F$82,1,0)</f>
        <v/>
      </c>
      <c r="AB15" s="27">
        <f>IF(AB3&gt;=Assumptions!$F$82,1,0)</f>
        <v/>
      </c>
      <c r="AC15" s="27">
        <f>IF(AC3&gt;=Assumptions!$F$82,1,0)</f>
        <v/>
      </c>
      <c r="AD15" s="27">
        <f>IF(AD3&gt;=Assumptions!$F$82,1,0)</f>
        <v/>
      </c>
      <c r="AE15" s="27">
        <f>IF(AE3&gt;=Assumptions!$F$82,1,0)</f>
        <v/>
      </c>
      <c r="AF15" s="27">
        <f>IF(AF3&gt;=Assumptions!$F$82,1,0)</f>
        <v/>
      </c>
      <c r="AG15" s="27">
        <f>IF(AG3&gt;=Assumptions!$F$82,1,0)</f>
        <v/>
      </c>
      <c r="AH15" s="27">
        <f>IF(AH3&gt;=Assumptions!$F$82,1,0)</f>
        <v/>
      </c>
      <c r="AI15" s="27">
        <f>IF(AI3&gt;=Assumptions!$F$82,1,0)</f>
        <v/>
      </c>
      <c r="AJ15" s="27">
        <f>IF(AJ3&gt;=Assumptions!$F$82,1,0)</f>
        <v/>
      </c>
      <c r="AK15" s="27">
        <f>IF(AK3&gt;=Assumptions!$F$82,1,0)</f>
        <v/>
      </c>
      <c r="AL15" s="27">
        <f>IF(AL3&gt;=Assumptions!$F$82,1,0)</f>
        <v/>
      </c>
      <c r="AN15" s="27">
        <f>INDEX(C15:AL15,1,12)</f>
        <v/>
      </c>
      <c r="AO15" s="27">
        <f>INDEX(C15:AL15,1,24)</f>
        <v/>
      </c>
      <c r="AP15" s="27">
        <f>INDEX(C15:AL15,1,36)</f>
        <v/>
      </c>
      <c r="AQ15" s="27">
        <f>INDEX(C15:AL15,1,36)</f>
        <v/>
      </c>
    </row>
    <row r="16">
      <c r="A16" s="22" t="inlineStr">
        <is>
          <t>E-learning content lead</t>
        </is>
      </c>
      <c r="B16" s="4" t="inlineStr"/>
      <c r="C16" s="27">
        <f>IF(C3&gt;=Assumptions!$F$84,1,0)</f>
        <v/>
      </c>
      <c r="D16" s="27">
        <f>IF(D3&gt;=Assumptions!$F$84,1,0)</f>
        <v/>
      </c>
      <c r="E16" s="27">
        <f>IF(E3&gt;=Assumptions!$F$84,1,0)</f>
        <v/>
      </c>
      <c r="F16" s="27">
        <f>IF(F3&gt;=Assumptions!$F$84,1,0)</f>
        <v/>
      </c>
      <c r="G16" s="27">
        <f>IF(G3&gt;=Assumptions!$F$84,1,0)</f>
        <v/>
      </c>
      <c r="H16" s="27">
        <f>IF(H3&gt;=Assumptions!$F$84,1,0)</f>
        <v/>
      </c>
      <c r="I16" s="27">
        <f>IF(I3&gt;=Assumptions!$F$84,1,0)</f>
        <v/>
      </c>
      <c r="J16" s="27">
        <f>IF(J3&gt;=Assumptions!$F$84,1,0)</f>
        <v/>
      </c>
      <c r="K16" s="27">
        <f>IF(K3&gt;=Assumptions!$F$84,1,0)</f>
        <v/>
      </c>
      <c r="L16" s="27">
        <f>IF(L3&gt;=Assumptions!$F$84,1,0)</f>
        <v/>
      </c>
      <c r="M16" s="27">
        <f>IF(M3&gt;=Assumptions!$F$84,1,0)</f>
        <v/>
      </c>
      <c r="N16" s="27">
        <f>IF(N3&gt;=Assumptions!$F$84,1,0)</f>
        <v/>
      </c>
      <c r="O16" s="27">
        <f>IF(O3&gt;=Assumptions!$F$84,1,0)</f>
        <v/>
      </c>
      <c r="P16" s="27">
        <f>IF(P3&gt;=Assumptions!$F$84,1,0)</f>
        <v/>
      </c>
      <c r="Q16" s="27">
        <f>IF(Q3&gt;=Assumptions!$F$84,1,0)</f>
        <v/>
      </c>
      <c r="R16" s="27">
        <f>IF(R3&gt;=Assumptions!$F$84,1,0)</f>
        <v/>
      </c>
      <c r="S16" s="27">
        <f>IF(S3&gt;=Assumptions!$F$84,1,0)</f>
        <v/>
      </c>
      <c r="T16" s="27">
        <f>IF(T3&gt;=Assumptions!$F$84,1,0)</f>
        <v/>
      </c>
      <c r="U16" s="27">
        <f>IF(U3&gt;=Assumptions!$F$84,1,0)</f>
        <v/>
      </c>
      <c r="V16" s="27">
        <f>IF(V3&gt;=Assumptions!$F$84,1,0)</f>
        <v/>
      </c>
      <c r="W16" s="27">
        <f>IF(W3&gt;=Assumptions!$F$84,1,0)</f>
        <v/>
      </c>
      <c r="X16" s="27">
        <f>IF(X3&gt;=Assumptions!$F$84,1,0)</f>
        <v/>
      </c>
      <c r="Y16" s="27">
        <f>IF(Y3&gt;=Assumptions!$F$84,1,0)</f>
        <v/>
      </c>
      <c r="Z16" s="27">
        <f>IF(Z3&gt;=Assumptions!$F$84,1,0)</f>
        <v/>
      </c>
      <c r="AA16" s="27">
        <f>IF(AA3&gt;=Assumptions!$F$84,1,0)</f>
        <v/>
      </c>
      <c r="AB16" s="27">
        <f>IF(AB3&gt;=Assumptions!$F$84,1,0)</f>
        <v/>
      </c>
      <c r="AC16" s="27">
        <f>IF(AC3&gt;=Assumptions!$F$84,1,0)</f>
        <v/>
      </c>
      <c r="AD16" s="27">
        <f>IF(AD3&gt;=Assumptions!$F$84,1,0)</f>
        <v/>
      </c>
      <c r="AE16" s="27">
        <f>IF(AE3&gt;=Assumptions!$F$84,1,0)</f>
        <v/>
      </c>
      <c r="AF16" s="27">
        <f>IF(AF3&gt;=Assumptions!$F$84,1,0)</f>
        <v/>
      </c>
      <c r="AG16" s="27">
        <f>IF(AG3&gt;=Assumptions!$F$84,1,0)</f>
        <v/>
      </c>
      <c r="AH16" s="27">
        <f>IF(AH3&gt;=Assumptions!$F$84,1,0)</f>
        <v/>
      </c>
      <c r="AI16" s="27">
        <f>IF(AI3&gt;=Assumptions!$F$84,1,0)</f>
        <v/>
      </c>
      <c r="AJ16" s="27">
        <f>IF(AJ3&gt;=Assumptions!$F$84,1,0)</f>
        <v/>
      </c>
      <c r="AK16" s="27">
        <f>IF(AK3&gt;=Assumptions!$F$84,1,0)</f>
        <v/>
      </c>
      <c r="AL16" s="27">
        <f>IF(AL3&gt;=Assumptions!$F$84,1,0)</f>
        <v/>
      </c>
      <c r="AN16" s="27">
        <f>INDEX(C16:AL16,1,12)</f>
        <v/>
      </c>
      <c r="AO16" s="27">
        <f>INDEX(C16:AL16,1,24)</f>
        <v/>
      </c>
      <c r="AP16" s="27">
        <f>INDEX(C16:AL16,1,36)</f>
        <v/>
      </c>
      <c r="AQ16" s="27">
        <f>INDEX(C16:AL16,1,36)</f>
        <v/>
      </c>
    </row>
    <row r="17">
      <c r="A17" s="22" t="inlineStr">
        <is>
          <t>Senior consultant (billable)</t>
        </is>
      </c>
      <c r="B17" s="4" t="inlineStr"/>
      <c r="C17" s="27">
        <f>IF(C3&gt;=Assumptions!$F$86,1,0)</f>
        <v/>
      </c>
      <c r="D17" s="27">
        <f>IF(D3&gt;=Assumptions!$F$86,1,0)</f>
        <v/>
      </c>
      <c r="E17" s="27">
        <f>IF(E3&gt;=Assumptions!$F$86,1,0)</f>
        <v/>
      </c>
      <c r="F17" s="27">
        <f>IF(F3&gt;=Assumptions!$F$86,1,0)</f>
        <v/>
      </c>
      <c r="G17" s="27">
        <f>IF(G3&gt;=Assumptions!$F$86,1,0)</f>
        <v/>
      </c>
      <c r="H17" s="27">
        <f>IF(H3&gt;=Assumptions!$F$86,1,0)</f>
        <v/>
      </c>
      <c r="I17" s="27">
        <f>IF(I3&gt;=Assumptions!$F$86,1,0)</f>
        <v/>
      </c>
      <c r="J17" s="27">
        <f>IF(J3&gt;=Assumptions!$F$86,1,0)</f>
        <v/>
      </c>
      <c r="K17" s="27">
        <f>IF(K3&gt;=Assumptions!$F$86,1,0)</f>
        <v/>
      </c>
      <c r="L17" s="27">
        <f>IF(L3&gt;=Assumptions!$F$86,1,0)</f>
        <v/>
      </c>
      <c r="M17" s="27">
        <f>IF(M3&gt;=Assumptions!$F$86,1,0)</f>
        <v/>
      </c>
      <c r="N17" s="27">
        <f>IF(N3&gt;=Assumptions!$F$86,1,0)</f>
        <v/>
      </c>
      <c r="O17" s="27">
        <f>IF(O3&gt;=Assumptions!$F$86,1,0)</f>
        <v/>
      </c>
      <c r="P17" s="27">
        <f>IF(P3&gt;=Assumptions!$F$86,1,0)</f>
        <v/>
      </c>
      <c r="Q17" s="27">
        <f>IF(Q3&gt;=Assumptions!$F$86,1,0)</f>
        <v/>
      </c>
      <c r="R17" s="27">
        <f>IF(R3&gt;=Assumptions!$F$86,1,0)</f>
        <v/>
      </c>
      <c r="S17" s="27">
        <f>IF(S3&gt;=Assumptions!$F$86,1,0)</f>
        <v/>
      </c>
      <c r="T17" s="27">
        <f>IF(T3&gt;=Assumptions!$F$86,1,0)</f>
        <v/>
      </c>
      <c r="U17" s="27">
        <f>IF(U3&gt;=Assumptions!$F$86,1,0)</f>
        <v/>
      </c>
      <c r="V17" s="27">
        <f>IF(V3&gt;=Assumptions!$F$86,1,0)</f>
        <v/>
      </c>
      <c r="W17" s="27">
        <f>IF(W3&gt;=Assumptions!$F$86,1,0)</f>
        <v/>
      </c>
      <c r="X17" s="27">
        <f>IF(X3&gt;=Assumptions!$F$86,1,0)</f>
        <v/>
      </c>
      <c r="Y17" s="27">
        <f>IF(Y3&gt;=Assumptions!$F$86,1,0)</f>
        <v/>
      </c>
      <c r="Z17" s="27">
        <f>IF(Z3&gt;=Assumptions!$F$86,1,0)</f>
        <v/>
      </c>
      <c r="AA17" s="27">
        <f>IF(AA3&gt;=Assumptions!$F$86,1,0)</f>
        <v/>
      </c>
      <c r="AB17" s="27">
        <f>IF(AB3&gt;=Assumptions!$F$86,1,0)</f>
        <v/>
      </c>
      <c r="AC17" s="27">
        <f>IF(AC3&gt;=Assumptions!$F$86,1,0)</f>
        <v/>
      </c>
      <c r="AD17" s="27">
        <f>IF(AD3&gt;=Assumptions!$F$86,1,0)</f>
        <v/>
      </c>
      <c r="AE17" s="27">
        <f>IF(AE3&gt;=Assumptions!$F$86,1,0)</f>
        <v/>
      </c>
      <c r="AF17" s="27">
        <f>IF(AF3&gt;=Assumptions!$F$86,1,0)</f>
        <v/>
      </c>
      <c r="AG17" s="27">
        <f>IF(AG3&gt;=Assumptions!$F$86,1,0)</f>
        <v/>
      </c>
      <c r="AH17" s="27">
        <f>IF(AH3&gt;=Assumptions!$F$86,1,0)</f>
        <v/>
      </c>
      <c r="AI17" s="27">
        <f>IF(AI3&gt;=Assumptions!$F$86,1,0)</f>
        <v/>
      </c>
      <c r="AJ17" s="27">
        <f>IF(AJ3&gt;=Assumptions!$F$86,1,0)</f>
        <v/>
      </c>
      <c r="AK17" s="27">
        <f>IF(AK3&gt;=Assumptions!$F$86,1,0)</f>
        <v/>
      </c>
      <c r="AL17" s="27">
        <f>IF(AL3&gt;=Assumptions!$F$86,1,0)</f>
        <v/>
      </c>
      <c r="AN17" s="27">
        <f>INDEX(C17:AL17,1,12)</f>
        <v/>
      </c>
      <c r="AO17" s="27">
        <f>INDEX(C17:AL17,1,24)</f>
        <v/>
      </c>
      <c r="AP17" s="27">
        <f>INDEX(C17:AL17,1,36)</f>
        <v/>
      </c>
      <c r="AQ17" s="27">
        <f>INDEX(C17:AL17,1,36)</f>
        <v/>
      </c>
    </row>
    <row r="18">
      <c r="A18" s="7" t="inlineStr">
        <is>
          <t>TOTAL HEADCOUNT</t>
        </is>
      </c>
      <c r="B18" s="4" t="inlineStr"/>
      <c r="C18" s="29">
        <f>SUM(C8:C17)</f>
        <v/>
      </c>
      <c r="D18" s="29">
        <f>SUM(D8:D17)</f>
        <v/>
      </c>
      <c r="E18" s="29">
        <f>SUM(E8:E17)</f>
        <v/>
      </c>
      <c r="F18" s="29">
        <f>SUM(F8:F17)</f>
        <v/>
      </c>
      <c r="G18" s="29">
        <f>SUM(G8:G17)</f>
        <v/>
      </c>
      <c r="H18" s="29">
        <f>SUM(H8:H17)</f>
        <v/>
      </c>
      <c r="I18" s="29">
        <f>SUM(I8:I17)</f>
        <v/>
      </c>
      <c r="J18" s="29">
        <f>SUM(J8:J17)</f>
        <v/>
      </c>
      <c r="K18" s="29">
        <f>SUM(K8:K17)</f>
        <v/>
      </c>
      <c r="L18" s="29">
        <f>SUM(L8:L17)</f>
        <v/>
      </c>
      <c r="M18" s="29">
        <f>SUM(M8:M17)</f>
        <v/>
      </c>
      <c r="N18" s="29">
        <f>SUM(N8:N17)</f>
        <v/>
      </c>
      <c r="O18" s="29">
        <f>SUM(O8:O17)</f>
        <v/>
      </c>
      <c r="P18" s="29">
        <f>SUM(P8:P17)</f>
        <v/>
      </c>
      <c r="Q18" s="29">
        <f>SUM(Q8:Q17)</f>
        <v/>
      </c>
      <c r="R18" s="29">
        <f>SUM(R8:R17)</f>
        <v/>
      </c>
      <c r="S18" s="29">
        <f>SUM(S8:S17)</f>
        <v/>
      </c>
      <c r="T18" s="29">
        <f>SUM(T8:T17)</f>
        <v/>
      </c>
      <c r="U18" s="29">
        <f>SUM(U8:U17)</f>
        <v/>
      </c>
      <c r="V18" s="29">
        <f>SUM(V8:V17)</f>
        <v/>
      </c>
      <c r="W18" s="29">
        <f>SUM(W8:W17)</f>
        <v/>
      </c>
      <c r="X18" s="29">
        <f>SUM(X8:X17)</f>
        <v/>
      </c>
      <c r="Y18" s="29">
        <f>SUM(Y8:Y17)</f>
        <v/>
      </c>
      <c r="Z18" s="29">
        <f>SUM(Z8:Z17)</f>
        <v/>
      </c>
      <c r="AA18" s="29">
        <f>SUM(AA8:AA17)</f>
        <v/>
      </c>
      <c r="AB18" s="29">
        <f>SUM(AB8:AB17)</f>
        <v/>
      </c>
      <c r="AC18" s="29">
        <f>SUM(AC8:AC17)</f>
        <v/>
      </c>
      <c r="AD18" s="29">
        <f>SUM(AD8:AD17)</f>
        <v/>
      </c>
      <c r="AE18" s="29">
        <f>SUM(AE8:AE17)</f>
        <v/>
      </c>
      <c r="AF18" s="29">
        <f>SUM(AF8:AF17)</f>
        <v/>
      </c>
      <c r="AG18" s="29">
        <f>SUM(AG8:AG17)</f>
        <v/>
      </c>
      <c r="AH18" s="29">
        <f>SUM(AH8:AH17)</f>
        <v/>
      </c>
      <c r="AI18" s="29">
        <f>SUM(AI8:AI17)</f>
        <v/>
      </c>
      <c r="AJ18" s="29">
        <f>SUM(AJ8:AJ17)</f>
        <v/>
      </c>
      <c r="AK18" s="29">
        <f>SUM(AK8:AK17)</f>
        <v/>
      </c>
      <c r="AL18" s="29">
        <f>SUM(AL8:AL17)</f>
        <v/>
      </c>
      <c r="AN18" s="29">
        <f>INDEX(C18:AL18,1,12)</f>
        <v/>
      </c>
      <c r="AO18" s="29">
        <f>INDEX(C18:AL18,1,24)</f>
        <v/>
      </c>
      <c r="AP18" s="29">
        <f>INDEX(C18:AL18,1,36)</f>
        <v/>
      </c>
      <c r="AQ18" s="29">
        <f>INDEX(C18:AL18,1,36)</f>
        <v/>
      </c>
    </row>
    <row r="20">
      <c r="A20" s="9" t="inlineStr">
        <is>
          <t>GROSS SALARIES (monthly)</t>
        </is>
      </c>
      <c r="B20" s="10" t="n"/>
      <c r="C20" s="10" t="n"/>
      <c r="D20" s="10" t="n"/>
      <c r="E20" s="10" t="n"/>
      <c r="F20" s="10" t="n"/>
      <c r="G20" s="10" t="n"/>
      <c r="H20" s="10" t="n"/>
      <c r="I20" s="10" t="n"/>
      <c r="J20" s="10" t="n"/>
      <c r="K20" s="10" t="n"/>
      <c r="L20" s="10" t="n"/>
      <c r="M20" s="10" t="n"/>
      <c r="N20" s="10" t="n"/>
      <c r="O20" s="10" t="n"/>
      <c r="P20" s="10" t="n"/>
      <c r="Q20" s="10" t="n"/>
      <c r="R20" s="10" t="n"/>
      <c r="S20" s="10" t="n"/>
      <c r="T20" s="10" t="n"/>
      <c r="U20" s="10" t="n"/>
      <c r="V20" s="10" t="n"/>
      <c r="W20" s="10" t="n"/>
      <c r="X20" s="10" t="n"/>
      <c r="Y20" s="10" t="n"/>
      <c r="Z20" s="10" t="n"/>
      <c r="AA20" s="10" t="n"/>
      <c r="AB20" s="10" t="n"/>
      <c r="AC20" s="10" t="n"/>
      <c r="AD20" s="10" t="n"/>
      <c r="AE20" s="10" t="n"/>
      <c r="AF20" s="10" t="n"/>
      <c r="AG20" s="10" t="n"/>
      <c r="AH20" s="10" t="n"/>
      <c r="AI20" s="10" t="n"/>
      <c r="AJ20" s="10" t="n"/>
      <c r="AK20" s="10" t="n"/>
      <c r="AL20" s="10" t="n"/>
      <c r="AM20" s="10" t="n"/>
      <c r="AN20" s="10" t="n"/>
      <c r="AO20" s="10" t="n"/>
      <c r="AP20" s="10" t="n"/>
      <c r="AQ20" s="10" t="n"/>
    </row>
    <row r="21">
      <c r="A21" s="22" t="inlineStr">
        <is>
          <t>Founder</t>
        </is>
      </c>
      <c r="B21" s="4" t="inlineStr"/>
      <c r="C21" s="19">
        <f>'Headcount'!C8*Assumptions!$C$134/12</f>
        <v/>
      </c>
      <c r="D21" s="19">
        <f>'Headcount'!D8*Assumptions!$C$134/12</f>
        <v/>
      </c>
      <c r="E21" s="19">
        <f>'Headcount'!E8*Assumptions!$C$134/12</f>
        <v/>
      </c>
      <c r="F21" s="19">
        <f>'Headcount'!F8*Assumptions!$C$134/12</f>
        <v/>
      </c>
      <c r="G21" s="19">
        <f>'Headcount'!G8*Assumptions!$C$134/12</f>
        <v/>
      </c>
      <c r="H21" s="19">
        <f>'Headcount'!H8*Assumptions!$C$134/12</f>
        <v/>
      </c>
      <c r="I21" s="19">
        <f>'Headcount'!I8*Assumptions!$C$134/12</f>
        <v/>
      </c>
      <c r="J21" s="19">
        <f>'Headcount'!J8*Assumptions!$C$134/12</f>
        <v/>
      </c>
      <c r="K21" s="19">
        <f>'Headcount'!K8*Assumptions!$C$134/12</f>
        <v/>
      </c>
      <c r="L21" s="19">
        <f>'Headcount'!L8*Assumptions!$C$134/12</f>
        <v/>
      </c>
      <c r="M21" s="19">
        <f>'Headcount'!M8*Assumptions!$C$134/12</f>
        <v/>
      </c>
      <c r="N21" s="19">
        <f>'Headcount'!N8*Assumptions!$C$134/12</f>
        <v/>
      </c>
      <c r="O21" s="19">
        <f>'Headcount'!O8*Assumptions!$C$134/12</f>
        <v/>
      </c>
      <c r="P21" s="19">
        <f>'Headcount'!P8*Assumptions!$C$134/12</f>
        <v/>
      </c>
      <c r="Q21" s="19">
        <f>'Headcount'!Q8*Assumptions!$C$134/12</f>
        <v/>
      </c>
      <c r="R21" s="19">
        <f>'Headcount'!R8*Assumptions!$C$134/12</f>
        <v/>
      </c>
      <c r="S21" s="19">
        <f>'Headcount'!S8*Assumptions!$C$134/12</f>
        <v/>
      </c>
      <c r="T21" s="19">
        <f>'Headcount'!T8*Assumptions!$C$134/12</f>
        <v/>
      </c>
      <c r="U21" s="19">
        <f>'Headcount'!U8*Assumptions!$C$134/12</f>
        <v/>
      </c>
      <c r="V21" s="19">
        <f>'Headcount'!V8*Assumptions!$C$134/12</f>
        <v/>
      </c>
      <c r="W21" s="19">
        <f>'Headcount'!W8*Assumptions!$C$134/12</f>
        <v/>
      </c>
      <c r="X21" s="19">
        <f>'Headcount'!X8*Assumptions!$C$134/12</f>
        <v/>
      </c>
      <c r="Y21" s="19">
        <f>'Headcount'!Y8*Assumptions!$C$134/12</f>
        <v/>
      </c>
      <c r="Z21" s="19">
        <f>'Headcount'!Z8*Assumptions!$C$134/12</f>
        <v/>
      </c>
      <c r="AA21" s="19">
        <f>'Headcount'!AA8*Assumptions!$C$134/12</f>
        <v/>
      </c>
      <c r="AB21" s="19">
        <f>'Headcount'!AB8*Assumptions!$C$134/12</f>
        <v/>
      </c>
      <c r="AC21" s="19">
        <f>'Headcount'!AC8*Assumptions!$C$134/12</f>
        <v/>
      </c>
      <c r="AD21" s="19">
        <f>'Headcount'!AD8*Assumptions!$C$134/12</f>
        <v/>
      </c>
      <c r="AE21" s="19">
        <f>'Headcount'!AE8*Assumptions!$C$134/12</f>
        <v/>
      </c>
      <c r="AF21" s="19">
        <f>'Headcount'!AF8*Assumptions!$C$134/12</f>
        <v/>
      </c>
      <c r="AG21" s="19">
        <f>'Headcount'!AG8*Assumptions!$C$134/12</f>
        <v/>
      </c>
      <c r="AH21" s="19">
        <f>'Headcount'!AH8*Assumptions!$C$134/12</f>
        <v/>
      </c>
      <c r="AI21" s="19">
        <f>'Headcount'!AI8*Assumptions!$C$134/12</f>
        <v/>
      </c>
      <c r="AJ21" s="19">
        <f>'Headcount'!AJ8*Assumptions!$C$134/12</f>
        <v/>
      </c>
      <c r="AK21" s="19">
        <f>'Headcount'!AK8*Assumptions!$C$134/12</f>
        <v/>
      </c>
      <c r="AL21" s="19">
        <f>'Headcount'!AL8*Assumptions!$C$134/12</f>
        <v/>
      </c>
      <c r="AN21" s="19">
        <f>SUMIF($C$5:$AL$5,AN$5,C21:AL21)</f>
        <v/>
      </c>
      <c r="AO21" s="19">
        <f>SUMIF($C$5:$AL$5,AO$5,C21:AL21)</f>
        <v/>
      </c>
      <c r="AP21" s="19">
        <f>SUMIF($C$5:$AL$5,AP$5,C21:AL21)</f>
        <v/>
      </c>
      <c r="AQ21" s="19">
        <f>SUM(C21:AL21)</f>
        <v/>
      </c>
    </row>
    <row r="22">
      <c r="A22" s="22" t="inlineStr">
        <is>
          <t>Product lead / CTO</t>
        </is>
      </c>
      <c r="B22" s="4" t="inlineStr"/>
      <c r="C22" s="19">
        <f>'Headcount'!C9*Assumptions!$C$135/12</f>
        <v/>
      </c>
      <c r="D22" s="19">
        <f>'Headcount'!D9*Assumptions!$C$135/12</f>
        <v/>
      </c>
      <c r="E22" s="19">
        <f>'Headcount'!E9*Assumptions!$C$135/12</f>
        <v/>
      </c>
      <c r="F22" s="19">
        <f>'Headcount'!F9*Assumptions!$C$135/12</f>
        <v/>
      </c>
      <c r="G22" s="19">
        <f>'Headcount'!G9*Assumptions!$C$135/12</f>
        <v/>
      </c>
      <c r="H22" s="19">
        <f>'Headcount'!H9*Assumptions!$C$135/12</f>
        <v/>
      </c>
      <c r="I22" s="19">
        <f>'Headcount'!I9*Assumptions!$C$135/12</f>
        <v/>
      </c>
      <c r="J22" s="19">
        <f>'Headcount'!J9*Assumptions!$C$135/12</f>
        <v/>
      </c>
      <c r="K22" s="19">
        <f>'Headcount'!K9*Assumptions!$C$135/12</f>
        <v/>
      </c>
      <c r="L22" s="19">
        <f>'Headcount'!L9*Assumptions!$C$135/12</f>
        <v/>
      </c>
      <c r="M22" s="19">
        <f>'Headcount'!M9*Assumptions!$C$135/12</f>
        <v/>
      </c>
      <c r="N22" s="19">
        <f>'Headcount'!N9*Assumptions!$C$135/12</f>
        <v/>
      </c>
      <c r="O22" s="19">
        <f>'Headcount'!O9*Assumptions!$C$135/12</f>
        <v/>
      </c>
      <c r="P22" s="19">
        <f>'Headcount'!P9*Assumptions!$C$135/12</f>
        <v/>
      </c>
      <c r="Q22" s="19">
        <f>'Headcount'!Q9*Assumptions!$C$135/12</f>
        <v/>
      </c>
      <c r="R22" s="19">
        <f>'Headcount'!R9*Assumptions!$C$135/12</f>
        <v/>
      </c>
      <c r="S22" s="19">
        <f>'Headcount'!S9*Assumptions!$C$135/12</f>
        <v/>
      </c>
      <c r="T22" s="19">
        <f>'Headcount'!T9*Assumptions!$C$135/12</f>
        <v/>
      </c>
      <c r="U22" s="19">
        <f>'Headcount'!U9*Assumptions!$C$135/12</f>
        <v/>
      </c>
      <c r="V22" s="19">
        <f>'Headcount'!V9*Assumptions!$C$135/12</f>
        <v/>
      </c>
      <c r="W22" s="19">
        <f>'Headcount'!W9*Assumptions!$C$135/12</f>
        <v/>
      </c>
      <c r="X22" s="19">
        <f>'Headcount'!X9*Assumptions!$C$135/12</f>
        <v/>
      </c>
      <c r="Y22" s="19">
        <f>'Headcount'!Y9*Assumptions!$C$135/12</f>
        <v/>
      </c>
      <c r="Z22" s="19">
        <f>'Headcount'!Z9*Assumptions!$C$135/12</f>
        <v/>
      </c>
      <c r="AA22" s="19">
        <f>'Headcount'!AA9*Assumptions!$C$135/12</f>
        <v/>
      </c>
      <c r="AB22" s="19">
        <f>'Headcount'!AB9*Assumptions!$C$135/12</f>
        <v/>
      </c>
      <c r="AC22" s="19">
        <f>'Headcount'!AC9*Assumptions!$C$135/12</f>
        <v/>
      </c>
      <c r="AD22" s="19">
        <f>'Headcount'!AD9*Assumptions!$C$135/12</f>
        <v/>
      </c>
      <c r="AE22" s="19">
        <f>'Headcount'!AE9*Assumptions!$C$135/12</f>
        <v/>
      </c>
      <c r="AF22" s="19">
        <f>'Headcount'!AF9*Assumptions!$C$135/12</f>
        <v/>
      </c>
      <c r="AG22" s="19">
        <f>'Headcount'!AG9*Assumptions!$C$135/12</f>
        <v/>
      </c>
      <c r="AH22" s="19">
        <f>'Headcount'!AH9*Assumptions!$C$135/12</f>
        <v/>
      </c>
      <c r="AI22" s="19">
        <f>'Headcount'!AI9*Assumptions!$C$135/12</f>
        <v/>
      </c>
      <c r="AJ22" s="19">
        <f>'Headcount'!AJ9*Assumptions!$C$135/12</f>
        <v/>
      </c>
      <c r="AK22" s="19">
        <f>'Headcount'!AK9*Assumptions!$C$135/12</f>
        <v/>
      </c>
      <c r="AL22" s="19">
        <f>'Headcount'!AL9*Assumptions!$C$135/12</f>
        <v/>
      </c>
      <c r="AN22" s="19">
        <f>SUMIF($C$5:$AL$5,AN$5,C22:AL22)</f>
        <v/>
      </c>
      <c r="AO22" s="19">
        <f>SUMIF($C$5:$AL$5,AO$5,C22:AL22)</f>
        <v/>
      </c>
      <c r="AP22" s="19">
        <f>SUMIF($C$5:$AL$5,AP$5,C22:AL22)</f>
        <v/>
      </c>
      <c r="AQ22" s="19">
        <f>SUM(C22:AL22)</f>
        <v/>
      </c>
    </row>
    <row r="23">
      <c r="A23" s="22" t="inlineStr">
        <is>
          <t>Developer 1</t>
        </is>
      </c>
      <c r="B23" s="4" t="inlineStr"/>
      <c r="C23" s="19">
        <f>'Headcount'!C10*Assumptions!$C$136/12</f>
        <v/>
      </c>
      <c r="D23" s="19">
        <f>'Headcount'!D10*Assumptions!$C$136/12</f>
        <v/>
      </c>
      <c r="E23" s="19">
        <f>'Headcount'!E10*Assumptions!$C$136/12</f>
        <v/>
      </c>
      <c r="F23" s="19">
        <f>'Headcount'!F10*Assumptions!$C$136/12</f>
        <v/>
      </c>
      <c r="G23" s="19">
        <f>'Headcount'!G10*Assumptions!$C$136/12</f>
        <v/>
      </c>
      <c r="H23" s="19">
        <f>'Headcount'!H10*Assumptions!$C$136/12</f>
        <v/>
      </c>
      <c r="I23" s="19">
        <f>'Headcount'!I10*Assumptions!$C$136/12</f>
        <v/>
      </c>
      <c r="J23" s="19">
        <f>'Headcount'!J10*Assumptions!$C$136/12</f>
        <v/>
      </c>
      <c r="K23" s="19">
        <f>'Headcount'!K10*Assumptions!$C$136/12</f>
        <v/>
      </c>
      <c r="L23" s="19">
        <f>'Headcount'!L10*Assumptions!$C$136/12</f>
        <v/>
      </c>
      <c r="M23" s="19">
        <f>'Headcount'!M10*Assumptions!$C$136/12</f>
        <v/>
      </c>
      <c r="N23" s="19">
        <f>'Headcount'!N10*Assumptions!$C$136/12</f>
        <v/>
      </c>
      <c r="O23" s="19">
        <f>'Headcount'!O10*Assumptions!$C$136/12</f>
        <v/>
      </c>
      <c r="P23" s="19">
        <f>'Headcount'!P10*Assumptions!$C$136/12</f>
        <v/>
      </c>
      <c r="Q23" s="19">
        <f>'Headcount'!Q10*Assumptions!$C$136/12</f>
        <v/>
      </c>
      <c r="R23" s="19">
        <f>'Headcount'!R10*Assumptions!$C$136/12</f>
        <v/>
      </c>
      <c r="S23" s="19">
        <f>'Headcount'!S10*Assumptions!$C$136/12</f>
        <v/>
      </c>
      <c r="T23" s="19">
        <f>'Headcount'!T10*Assumptions!$C$136/12</f>
        <v/>
      </c>
      <c r="U23" s="19">
        <f>'Headcount'!U10*Assumptions!$C$136/12</f>
        <v/>
      </c>
      <c r="V23" s="19">
        <f>'Headcount'!V10*Assumptions!$C$136/12</f>
        <v/>
      </c>
      <c r="W23" s="19">
        <f>'Headcount'!W10*Assumptions!$C$136/12</f>
        <v/>
      </c>
      <c r="X23" s="19">
        <f>'Headcount'!X10*Assumptions!$C$136/12</f>
        <v/>
      </c>
      <c r="Y23" s="19">
        <f>'Headcount'!Y10*Assumptions!$C$136/12</f>
        <v/>
      </c>
      <c r="Z23" s="19">
        <f>'Headcount'!Z10*Assumptions!$C$136/12</f>
        <v/>
      </c>
      <c r="AA23" s="19">
        <f>'Headcount'!AA10*Assumptions!$C$136/12</f>
        <v/>
      </c>
      <c r="AB23" s="19">
        <f>'Headcount'!AB10*Assumptions!$C$136/12</f>
        <v/>
      </c>
      <c r="AC23" s="19">
        <f>'Headcount'!AC10*Assumptions!$C$136/12</f>
        <v/>
      </c>
      <c r="AD23" s="19">
        <f>'Headcount'!AD10*Assumptions!$C$136/12</f>
        <v/>
      </c>
      <c r="AE23" s="19">
        <f>'Headcount'!AE10*Assumptions!$C$136/12</f>
        <v/>
      </c>
      <c r="AF23" s="19">
        <f>'Headcount'!AF10*Assumptions!$C$136/12</f>
        <v/>
      </c>
      <c r="AG23" s="19">
        <f>'Headcount'!AG10*Assumptions!$C$136/12</f>
        <v/>
      </c>
      <c r="AH23" s="19">
        <f>'Headcount'!AH10*Assumptions!$C$136/12</f>
        <v/>
      </c>
      <c r="AI23" s="19">
        <f>'Headcount'!AI10*Assumptions!$C$136/12</f>
        <v/>
      </c>
      <c r="AJ23" s="19">
        <f>'Headcount'!AJ10*Assumptions!$C$136/12</f>
        <v/>
      </c>
      <c r="AK23" s="19">
        <f>'Headcount'!AK10*Assumptions!$C$136/12</f>
        <v/>
      </c>
      <c r="AL23" s="19">
        <f>'Headcount'!AL10*Assumptions!$C$136/12</f>
        <v/>
      </c>
      <c r="AN23" s="19">
        <f>SUMIF($C$5:$AL$5,AN$5,C23:AL23)</f>
        <v/>
      </c>
      <c r="AO23" s="19">
        <f>SUMIF($C$5:$AL$5,AO$5,C23:AL23)</f>
        <v/>
      </c>
      <c r="AP23" s="19">
        <f>SUMIF($C$5:$AL$5,AP$5,C23:AL23)</f>
        <v/>
      </c>
      <c r="AQ23" s="19">
        <f>SUM(C23:AL23)</f>
        <v/>
      </c>
    </row>
    <row r="24">
      <c r="A24" s="22" t="inlineStr">
        <is>
          <t>Developer 2</t>
        </is>
      </c>
      <c r="B24" s="4" t="inlineStr"/>
      <c r="C24" s="19">
        <f>'Headcount'!C11*Assumptions!$C$137/12</f>
        <v/>
      </c>
      <c r="D24" s="19">
        <f>'Headcount'!D11*Assumptions!$C$137/12</f>
        <v/>
      </c>
      <c r="E24" s="19">
        <f>'Headcount'!E11*Assumptions!$C$137/12</f>
        <v/>
      </c>
      <c r="F24" s="19">
        <f>'Headcount'!F11*Assumptions!$C$137/12</f>
        <v/>
      </c>
      <c r="G24" s="19">
        <f>'Headcount'!G11*Assumptions!$C$137/12</f>
        <v/>
      </c>
      <c r="H24" s="19">
        <f>'Headcount'!H11*Assumptions!$C$137/12</f>
        <v/>
      </c>
      <c r="I24" s="19">
        <f>'Headcount'!I11*Assumptions!$C$137/12</f>
        <v/>
      </c>
      <c r="J24" s="19">
        <f>'Headcount'!J11*Assumptions!$C$137/12</f>
        <v/>
      </c>
      <c r="K24" s="19">
        <f>'Headcount'!K11*Assumptions!$C$137/12</f>
        <v/>
      </c>
      <c r="L24" s="19">
        <f>'Headcount'!L11*Assumptions!$C$137/12</f>
        <v/>
      </c>
      <c r="M24" s="19">
        <f>'Headcount'!M11*Assumptions!$C$137/12</f>
        <v/>
      </c>
      <c r="N24" s="19">
        <f>'Headcount'!N11*Assumptions!$C$137/12</f>
        <v/>
      </c>
      <c r="O24" s="19">
        <f>'Headcount'!O11*Assumptions!$C$137/12</f>
        <v/>
      </c>
      <c r="P24" s="19">
        <f>'Headcount'!P11*Assumptions!$C$137/12</f>
        <v/>
      </c>
      <c r="Q24" s="19">
        <f>'Headcount'!Q11*Assumptions!$C$137/12</f>
        <v/>
      </c>
      <c r="R24" s="19">
        <f>'Headcount'!R11*Assumptions!$C$137/12</f>
        <v/>
      </c>
      <c r="S24" s="19">
        <f>'Headcount'!S11*Assumptions!$C$137/12</f>
        <v/>
      </c>
      <c r="T24" s="19">
        <f>'Headcount'!T11*Assumptions!$C$137/12</f>
        <v/>
      </c>
      <c r="U24" s="19">
        <f>'Headcount'!U11*Assumptions!$C$137/12</f>
        <v/>
      </c>
      <c r="V24" s="19">
        <f>'Headcount'!V11*Assumptions!$C$137/12</f>
        <v/>
      </c>
      <c r="W24" s="19">
        <f>'Headcount'!W11*Assumptions!$C$137/12</f>
        <v/>
      </c>
      <c r="X24" s="19">
        <f>'Headcount'!X11*Assumptions!$C$137/12</f>
        <v/>
      </c>
      <c r="Y24" s="19">
        <f>'Headcount'!Y11*Assumptions!$C$137/12</f>
        <v/>
      </c>
      <c r="Z24" s="19">
        <f>'Headcount'!Z11*Assumptions!$C$137/12</f>
        <v/>
      </c>
      <c r="AA24" s="19">
        <f>'Headcount'!AA11*Assumptions!$C$137/12</f>
        <v/>
      </c>
      <c r="AB24" s="19">
        <f>'Headcount'!AB11*Assumptions!$C$137/12</f>
        <v/>
      </c>
      <c r="AC24" s="19">
        <f>'Headcount'!AC11*Assumptions!$C$137/12</f>
        <v/>
      </c>
      <c r="AD24" s="19">
        <f>'Headcount'!AD11*Assumptions!$C$137/12</f>
        <v/>
      </c>
      <c r="AE24" s="19">
        <f>'Headcount'!AE11*Assumptions!$C$137/12</f>
        <v/>
      </c>
      <c r="AF24" s="19">
        <f>'Headcount'!AF11*Assumptions!$C$137/12</f>
        <v/>
      </c>
      <c r="AG24" s="19">
        <f>'Headcount'!AG11*Assumptions!$C$137/12</f>
        <v/>
      </c>
      <c r="AH24" s="19">
        <f>'Headcount'!AH11*Assumptions!$C$137/12</f>
        <v/>
      </c>
      <c r="AI24" s="19">
        <f>'Headcount'!AI11*Assumptions!$C$137/12</f>
        <v/>
      </c>
      <c r="AJ24" s="19">
        <f>'Headcount'!AJ11*Assumptions!$C$137/12</f>
        <v/>
      </c>
      <c r="AK24" s="19">
        <f>'Headcount'!AK11*Assumptions!$C$137/12</f>
        <v/>
      </c>
      <c r="AL24" s="19">
        <f>'Headcount'!AL11*Assumptions!$C$137/12</f>
        <v/>
      </c>
      <c r="AN24" s="19">
        <f>SUMIF($C$5:$AL$5,AN$5,C24:AL24)</f>
        <v/>
      </c>
      <c r="AO24" s="19">
        <f>SUMIF($C$5:$AL$5,AO$5,C24:AL24)</f>
        <v/>
      </c>
      <c r="AP24" s="19">
        <f>SUMIF($C$5:$AL$5,AP$5,C24:AL24)</f>
        <v/>
      </c>
      <c r="AQ24" s="19">
        <f>SUM(C24:AL24)</f>
        <v/>
      </c>
    </row>
    <row r="25">
      <c r="A25" s="22" t="inlineStr">
        <is>
          <t>Developer 3</t>
        </is>
      </c>
      <c r="B25" s="4" t="inlineStr"/>
      <c r="C25" s="19">
        <f>'Headcount'!C12*Assumptions!$C$138/12</f>
        <v/>
      </c>
      <c r="D25" s="19">
        <f>'Headcount'!D12*Assumptions!$C$138/12</f>
        <v/>
      </c>
      <c r="E25" s="19">
        <f>'Headcount'!E12*Assumptions!$C$138/12</f>
        <v/>
      </c>
      <c r="F25" s="19">
        <f>'Headcount'!F12*Assumptions!$C$138/12</f>
        <v/>
      </c>
      <c r="G25" s="19">
        <f>'Headcount'!G12*Assumptions!$C$138/12</f>
        <v/>
      </c>
      <c r="H25" s="19">
        <f>'Headcount'!H12*Assumptions!$C$138/12</f>
        <v/>
      </c>
      <c r="I25" s="19">
        <f>'Headcount'!I12*Assumptions!$C$138/12</f>
        <v/>
      </c>
      <c r="J25" s="19">
        <f>'Headcount'!J12*Assumptions!$C$138/12</f>
        <v/>
      </c>
      <c r="K25" s="19">
        <f>'Headcount'!K12*Assumptions!$C$138/12</f>
        <v/>
      </c>
      <c r="L25" s="19">
        <f>'Headcount'!L12*Assumptions!$C$138/12</f>
        <v/>
      </c>
      <c r="M25" s="19">
        <f>'Headcount'!M12*Assumptions!$C$138/12</f>
        <v/>
      </c>
      <c r="N25" s="19">
        <f>'Headcount'!N12*Assumptions!$C$138/12</f>
        <v/>
      </c>
      <c r="O25" s="19">
        <f>'Headcount'!O12*Assumptions!$C$138/12</f>
        <v/>
      </c>
      <c r="P25" s="19">
        <f>'Headcount'!P12*Assumptions!$C$138/12</f>
        <v/>
      </c>
      <c r="Q25" s="19">
        <f>'Headcount'!Q12*Assumptions!$C$138/12</f>
        <v/>
      </c>
      <c r="R25" s="19">
        <f>'Headcount'!R12*Assumptions!$C$138/12</f>
        <v/>
      </c>
      <c r="S25" s="19">
        <f>'Headcount'!S12*Assumptions!$C$138/12</f>
        <v/>
      </c>
      <c r="T25" s="19">
        <f>'Headcount'!T12*Assumptions!$C$138/12</f>
        <v/>
      </c>
      <c r="U25" s="19">
        <f>'Headcount'!U12*Assumptions!$C$138/12</f>
        <v/>
      </c>
      <c r="V25" s="19">
        <f>'Headcount'!V12*Assumptions!$C$138/12</f>
        <v/>
      </c>
      <c r="W25" s="19">
        <f>'Headcount'!W12*Assumptions!$C$138/12</f>
        <v/>
      </c>
      <c r="X25" s="19">
        <f>'Headcount'!X12*Assumptions!$C$138/12</f>
        <v/>
      </c>
      <c r="Y25" s="19">
        <f>'Headcount'!Y12*Assumptions!$C$138/12</f>
        <v/>
      </c>
      <c r="Z25" s="19">
        <f>'Headcount'!Z12*Assumptions!$C$138/12</f>
        <v/>
      </c>
      <c r="AA25" s="19">
        <f>'Headcount'!AA12*Assumptions!$C$138/12</f>
        <v/>
      </c>
      <c r="AB25" s="19">
        <f>'Headcount'!AB12*Assumptions!$C$138/12</f>
        <v/>
      </c>
      <c r="AC25" s="19">
        <f>'Headcount'!AC12*Assumptions!$C$138/12</f>
        <v/>
      </c>
      <c r="AD25" s="19">
        <f>'Headcount'!AD12*Assumptions!$C$138/12</f>
        <v/>
      </c>
      <c r="AE25" s="19">
        <f>'Headcount'!AE12*Assumptions!$C$138/12</f>
        <v/>
      </c>
      <c r="AF25" s="19">
        <f>'Headcount'!AF12*Assumptions!$C$138/12</f>
        <v/>
      </c>
      <c r="AG25" s="19">
        <f>'Headcount'!AG12*Assumptions!$C$138/12</f>
        <v/>
      </c>
      <c r="AH25" s="19">
        <f>'Headcount'!AH12*Assumptions!$C$138/12</f>
        <v/>
      </c>
      <c r="AI25" s="19">
        <f>'Headcount'!AI12*Assumptions!$C$138/12</f>
        <v/>
      </c>
      <c r="AJ25" s="19">
        <f>'Headcount'!AJ12*Assumptions!$C$138/12</f>
        <v/>
      </c>
      <c r="AK25" s="19">
        <f>'Headcount'!AK12*Assumptions!$C$138/12</f>
        <v/>
      </c>
      <c r="AL25" s="19">
        <f>'Headcount'!AL12*Assumptions!$C$138/12</f>
        <v/>
      </c>
      <c r="AN25" s="19">
        <f>SUMIF($C$5:$AL$5,AN$5,C25:AL25)</f>
        <v/>
      </c>
      <c r="AO25" s="19">
        <f>SUMIF($C$5:$AL$5,AO$5,C25:AL25)</f>
        <v/>
      </c>
      <c r="AP25" s="19">
        <f>SUMIF($C$5:$AL$5,AP$5,C25:AL25)</f>
        <v/>
      </c>
      <c r="AQ25" s="19">
        <f>SUM(C25:AL25)</f>
        <v/>
      </c>
    </row>
    <row r="26">
      <c r="A26" s="22" t="inlineStr">
        <is>
          <t>BD / sales lead</t>
        </is>
      </c>
      <c r="B26" s="4" t="inlineStr"/>
      <c r="C26" s="19">
        <f>'Headcount'!C13*Assumptions!$C$139/12</f>
        <v/>
      </c>
      <c r="D26" s="19">
        <f>'Headcount'!D13*Assumptions!$C$139/12</f>
        <v/>
      </c>
      <c r="E26" s="19">
        <f>'Headcount'!E13*Assumptions!$C$139/12</f>
        <v/>
      </c>
      <c r="F26" s="19">
        <f>'Headcount'!F13*Assumptions!$C$139/12</f>
        <v/>
      </c>
      <c r="G26" s="19">
        <f>'Headcount'!G13*Assumptions!$C$139/12</f>
        <v/>
      </c>
      <c r="H26" s="19">
        <f>'Headcount'!H13*Assumptions!$C$139/12</f>
        <v/>
      </c>
      <c r="I26" s="19">
        <f>'Headcount'!I13*Assumptions!$C$139/12</f>
        <v/>
      </c>
      <c r="J26" s="19">
        <f>'Headcount'!J13*Assumptions!$C$139/12</f>
        <v/>
      </c>
      <c r="K26" s="19">
        <f>'Headcount'!K13*Assumptions!$C$139/12</f>
        <v/>
      </c>
      <c r="L26" s="19">
        <f>'Headcount'!L13*Assumptions!$C$139/12</f>
        <v/>
      </c>
      <c r="M26" s="19">
        <f>'Headcount'!M13*Assumptions!$C$139/12</f>
        <v/>
      </c>
      <c r="N26" s="19">
        <f>'Headcount'!N13*Assumptions!$C$139/12</f>
        <v/>
      </c>
      <c r="O26" s="19">
        <f>'Headcount'!O13*Assumptions!$C$139/12</f>
        <v/>
      </c>
      <c r="P26" s="19">
        <f>'Headcount'!P13*Assumptions!$C$139/12</f>
        <v/>
      </c>
      <c r="Q26" s="19">
        <f>'Headcount'!Q13*Assumptions!$C$139/12</f>
        <v/>
      </c>
      <c r="R26" s="19">
        <f>'Headcount'!R13*Assumptions!$C$139/12</f>
        <v/>
      </c>
      <c r="S26" s="19">
        <f>'Headcount'!S13*Assumptions!$C$139/12</f>
        <v/>
      </c>
      <c r="T26" s="19">
        <f>'Headcount'!T13*Assumptions!$C$139/12</f>
        <v/>
      </c>
      <c r="U26" s="19">
        <f>'Headcount'!U13*Assumptions!$C$139/12</f>
        <v/>
      </c>
      <c r="V26" s="19">
        <f>'Headcount'!V13*Assumptions!$C$139/12</f>
        <v/>
      </c>
      <c r="W26" s="19">
        <f>'Headcount'!W13*Assumptions!$C$139/12</f>
        <v/>
      </c>
      <c r="X26" s="19">
        <f>'Headcount'!X13*Assumptions!$C$139/12</f>
        <v/>
      </c>
      <c r="Y26" s="19">
        <f>'Headcount'!Y13*Assumptions!$C$139/12</f>
        <v/>
      </c>
      <c r="Z26" s="19">
        <f>'Headcount'!Z13*Assumptions!$C$139/12</f>
        <v/>
      </c>
      <c r="AA26" s="19">
        <f>'Headcount'!AA13*Assumptions!$C$139/12</f>
        <v/>
      </c>
      <c r="AB26" s="19">
        <f>'Headcount'!AB13*Assumptions!$C$139/12</f>
        <v/>
      </c>
      <c r="AC26" s="19">
        <f>'Headcount'!AC13*Assumptions!$C$139/12</f>
        <v/>
      </c>
      <c r="AD26" s="19">
        <f>'Headcount'!AD13*Assumptions!$C$139/12</f>
        <v/>
      </c>
      <c r="AE26" s="19">
        <f>'Headcount'!AE13*Assumptions!$C$139/12</f>
        <v/>
      </c>
      <c r="AF26" s="19">
        <f>'Headcount'!AF13*Assumptions!$C$139/12</f>
        <v/>
      </c>
      <c r="AG26" s="19">
        <f>'Headcount'!AG13*Assumptions!$C$139/12</f>
        <v/>
      </c>
      <c r="AH26" s="19">
        <f>'Headcount'!AH13*Assumptions!$C$139/12</f>
        <v/>
      </c>
      <c r="AI26" s="19">
        <f>'Headcount'!AI13*Assumptions!$C$139/12</f>
        <v/>
      </c>
      <c r="AJ26" s="19">
        <f>'Headcount'!AJ13*Assumptions!$C$139/12</f>
        <v/>
      </c>
      <c r="AK26" s="19">
        <f>'Headcount'!AK13*Assumptions!$C$139/12</f>
        <v/>
      </c>
      <c r="AL26" s="19">
        <f>'Headcount'!AL13*Assumptions!$C$139/12</f>
        <v/>
      </c>
      <c r="AN26" s="19">
        <f>SUMIF($C$5:$AL$5,AN$5,C26:AL26)</f>
        <v/>
      </c>
      <c r="AO26" s="19">
        <f>SUMIF($C$5:$AL$5,AO$5,C26:AL26)</f>
        <v/>
      </c>
      <c r="AP26" s="19">
        <f>SUMIF($C$5:$AL$5,AP$5,C26:AL26)</f>
        <v/>
      </c>
      <c r="AQ26" s="19">
        <f>SUM(C26:AL26)</f>
        <v/>
      </c>
    </row>
    <row r="27">
      <c r="A27" s="22" t="inlineStr">
        <is>
          <t>Programme manager (Nigeria)</t>
        </is>
      </c>
      <c r="B27" s="4" t="inlineStr"/>
      <c r="C27" s="19">
        <f>'Headcount'!C14*Assumptions!$C$140/12</f>
        <v/>
      </c>
      <c r="D27" s="19">
        <f>'Headcount'!D14*Assumptions!$C$140/12</f>
        <v/>
      </c>
      <c r="E27" s="19">
        <f>'Headcount'!E14*Assumptions!$C$140/12</f>
        <v/>
      </c>
      <c r="F27" s="19">
        <f>'Headcount'!F14*Assumptions!$C$140/12</f>
        <v/>
      </c>
      <c r="G27" s="19">
        <f>'Headcount'!G14*Assumptions!$C$140/12</f>
        <v/>
      </c>
      <c r="H27" s="19">
        <f>'Headcount'!H14*Assumptions!$C$140/12</f>
        <v/>
      </c>
      <c r="I27" s="19">
        <f>'Headcount'!I14*Assumptions!$C$140/12</f>
        <v/>
      </c>
      <c r="J27" s="19">
        <f>'Headcount'!J14*Assumptions!$C$140/12</f>
        <v/>
      </c>
      <c r="K27" s="19">
        <f>'Headcount'!K14*Assumptions!$C$140/12</f>
        <v/>
      </c>
      <c r="L27" s="19">
        <f>'Headcount'!L14*Assumptions!$C$140/12</f>
        <v/>
      </c>
      <c r="M27" s="19">
        <f>'Headcount'!M14*Assumptions!$C$140/12</f>
        <v/>
      </c>
      <c r="N27" s="19">
        <f>'Headcount'!N14*Assumptions!$C$140/12</f>
        <v/>
      </c>
      <c r="O27" s="19">
        <f>'Headcount'!O14*Assumptions!$C$140/12</f>
        <v/>
      </c>
      <c r="P27" s="19">
        <f>'Headcount'!P14*Assumptions!$C$140/12</f>
        <v/>
      </c>
      <c r="Q27" s="19">
        <f>'Headcount'!Q14*Assumptions!$C$140/12</f>
        <v/>
      </c>
      <c r="R27" s="19">
        <f>'Headcount'!R14*Assumptions!$C$140/12</f>
        <v/>
      </c>
      <c r="S27" s="19">
        <f>'Headcount'!S14*Assumptions!$C$140/12</f>
        <v/>
      </c>
      <c r="T27" s="19">
        <f>'Headcount'!T14*Assumptions!$C$140/12</f>
        <v/>
      </c>
      <c r="U27" s="19">
        <f>'Headcount'!U14*Assumptions!$C$140/12</f>
        <v/>
      </c>
      <c r="V27" s="19">
        <f>'Headcount'!V14*Assumptions!$C$140/12</f>
        <v/>
      </c>
      <c r="W27" s="19">
        <f>'Headcount'!W14*Assumptions!$C$140/12</f>
        <v/>
      </c>
      <c r="X27" s="19">
        <f>'Headcount'!X14*Assumptions!$C$140/12</f>
        <v/>
      </c>
      <c r="Y27" s="19">
        <f>'Headcount'!Y14*Assumptions!$C$140/12</f>
        <v/>
      </c>
      <c r="Z27" s="19">
        <f>'Headcount'!Z14*Assumptions!$C$140/12</f>
        <v/>
      </c>
      <c r="AA27" s="19">
        <f>'Headcount'!AA14*Assumptions!$C$140/12</f>
        <v/>
      </c>
      <c r="AB27" s="19">
        <f>'Headcount'!AB14*Assumptions!$C$140/12</f>
        <v/>
      </c>
      <c r="AC27" s="19">
        <f>'Headcount'!AC14*Assumptions!$C$140/12</f>
        <v/>
      </c>
      <c r="AD27" s="19">
        <f>'Headcount'!AD14*Assumptions!$C$140/12</f>
        <v/>
      </c>
      <c r="AE27" s="19">
        <f>'Headcount'!AE14*Assumptions!$C$140/12</f>
        <v/>
      </c>
      <c r="AF27" s="19">
        <f>'Headcount'!AF14*Assumptions!$C$140/12</f>
        <v/>
      </c>
      <c r="AG27" s="19">
        <f>'Headcount'!AG14*Assumptions!$C$140/12</f>
        <v/>
      </c>
      <c r="AH27" s="19">
        <f>'Headcount'!AH14*Assumptions!$C$140/12</f>
        <v/>
      </c>
      <c r="AI27" s="19">
        <f>'Headcount'!AI14*Assumptions!$C$140/12</f>
        <v/>
      </c>
      <c r="AJ27" s="19">
        <f>'Headcount'!AJ14*Assumptions!$C$140/12</f>
        <v/>
      </c>
      <c r="AK27" s="19">
        <f>'Headcount'!AK14*Assumptions!$C$140/12</f>
        <v/>
      </c>
      <c r="AL27" s="19">
        <f>'Headcount'!AL14*Assumptions!$C$140/12</f>
        <v/>
      </c>
      <c r="AN27" s="19">
        <f>SUMIF($C$5:$AL$5,AN$5,C27:AL27)</f>
        <v/>
      </c>
      <c r="AO27" s="19">
        <f>SUMIF($C$5:$AL$5,AO$5,C27:AL27)</f>
        <v/>
      </c>
      <c r="AP27" s="19">
        <f>SUMIF($C$5:$AL$5,AP$5,C27:AL27)</f>
        <v/>
      </c>
      <c r="AQ27" s="19">
        <f>SUM(C27:AL27)</f>
        <v/>
      </c>
    </row>
    <row r="28">
      <c r="A28" s="22" t="inlineStr">
        <is>
          <t>Clinical lead (midwife/obstetrician)</t>
        </is>
      </c>
      <c r="B28" s="4" t="inlineStr"/>
      <c r="C28" s="19">
        <f>'Headcount'!C15*Assumptions!$C$141/12</f>
        <v/>
      </c>
      <c r="D28" s="19">
        <f>'Headcount'!D15*Assumptions!$C$141/12</f>
        <v/>
      </c>
      <c r="E28" s="19">
        <f>'Headcount'!E15*Assumptions!$C$141/12</f>
        <v/>
      </c>
      <c r="F28" s="19">
        <f>'Headcount'!F15*Assumptions!$C$141/12</f>
        <v/>
      </c>
      <c r="G28" s="19">
        <f>'Headcount'!G15*Assumptions!$C$141/12</f>
        <v/>
      </c>
      <c r="H28" s="19">
        <f>'Headcount'!H15*Assumptions!$C$141/12</f>
        <v/>
      </c>
      <c r="I28" s="19">
        <f>'Headcount'!I15*Assumptions!$C$141/12</f>
        <v/>
      </c>
      <c r="J28" s="19">
        <f>'Headcount'!J15*Assumptions!$C$141/12</f>
        <v/>
      </c>
      <c r="K28" s="19">
        <f>'Headcount'!K15*Assumptions!$C$141/12</f>
        <v/>
      </c>
      <c r="L28" s="19">
        <f>'Headcount'!L15*Assumptions!$C$141/12</f>
        <v/>
      </c>
      <c r="M28" s="19">
        <f>'Headcount'!M15*Assumptions!$C$141/12</f>
        <v/>
      </c>
      <c r="N28" s="19">
        <f>'Headcount'!N15*Assumptions!$C$141/12</f>
        <v/>
      </c>
      <c r="O28" s="19">
        <f>'Headcount'!O15*Assumptions!$C$141/12</f>
        <v/>
      </c>
      <c r="P28" s="19">
        <f>'Headcount'!P15*Assumptions!$C$141/12</f>
        <v/>
      </c>
      <c r="Q28" s="19">
        <f>'Headcount'!Q15*Assumptions!$C$141/12</f>
        <v/>
      </c>
      <c r="R28" s="19">
        <f>'Headcount'!R15*Assumptions!$C$141/12</f>
        <v/>
      </c>
      <c r="S28" s="19">
        <f>'Headcount'!S15*Assumptions!$C$141/12</f>
        <v/>
      </c>
      <c r="T28" s="19">
        <f>'Headcount'!T15*Assumptions!$C$141/12</f>
        <v/>
      </c>
      <c r="U28" s="19">
        <f>'Headcount'!U15*Assumptions!$C$141/12</f>
        <v/>
      </c>
      <c r="V28" s="19">
        <f>'Headcount'!V15*Assumptions!$C$141/12</f>
        <v/>
      </c>
      <c r="W28" s="19">
        <f>'Headcount'!W15*Assumptions!$C$141/12</f>
        <v/>
      </c>
      <c r="X28" s="19">
        <f>'Headcount'!X15*Assumptions!$C$141/12</f>
        <v/>
      </c>
      <c r="Y28" s="19">
        <f>'Headcount'!Y15*Assumptions!$C$141/12</f>
        <v/>
      </c>
      <c r="Z28" s="19">
        <f>'Headcount'!Z15*Assumptions!$C$141/12</f>
        <v/>
      </c>
      <c r="AA28" s="19">
        <f>'Headcount'!AA15*Assumptions!$C$141/12</f>
        <v/>
      </c>
      <c r="AB28" s="19">
        <f>'Headcount'!AB15*Assumptions!$C$141/12</f>
        <v/>
      </c>
      <c r="AC28" s="19">
        <f>'Headcount'!AC15*Assumptions!$C$141/12</f>
        <v/>
      </c>
      <c r="AD28" s="19">
        <f>'Headcount'!AD15*Assumptions!$C$141/12</f>
        <v/>
      </c>
      <c r="AE28" s="19">
        <f>'Headcount'!AE15*Assumptions!$C$141/12</f>
        <v/>
      </c>
      <c r="AF28" s="19">
        <f>'Headcount'!AF15*Assumptions!$C$141/12</f>
        <v/>
      </c>
      <c r="AG28" s="19">
        <f>'Headcount'!AG15*Assumptions!$C$141/12</f>
        <v/>
      </c>
      <c r="AH28" s="19">
        <f>'Headcount'!AH15*Assumptions!$C$141/12</f>
        <v/>
      </c>
      <c r="AI28" s="19">
        <f>'Headcount'!AI15*Assumptions!$C$141/12</f>
        <v/>
      </c>
      <c r="AJ28" s="19">
        <f>'Headcount'!AJ15*Assumptions!$C$141/12</f>
        <v/>
      </c>
      <c r="AK28" s="19">
        <f>'Headcount'!AK15*Assumptions!$C$141/12</f>
        <v/>
      </c>
      <c r="AL28" s="19">
        <f>'Headcount'!AL15*Assumptions!$C$141/12</f>
        <v/>
      </c>
      <c r="AN28" s="19">
        <f>SUMIF($C$5:$AL$5,AN$5,C28:AL28)</f>
        <v/>
      </c>
      <c r="AO28" s="19">
        <f>SUMIF($C$5:$AL$5,AO$5,C28:AL28)</f>
        <v/>
      </c>
      <c r="AP28" s="19">
        <f>SUMIF($C$5:$AL$5,AP$5,C28:AL28)</f>
        <v/>
      </c>
      <c r="AQ28" s="19">
        <f>SUM(C28:AL28)</f>
        <v/>
      </c>
    </row>
    <row r="29">
      <c r="A29" s="22" t="inlineStr">
        <is>
          <t>E-learning content lead</t>
        </is>
      </c>
      <c r="B29" s="4" t="inlineStr"/>
      <c r="C29" s="19">
        <f>'Headcount'!C16*Assumptions!$C$142/12</f>
        <v/>
      </c>
      <c r="D29" s="19">
        <f>'Headcount'!D16*Assumptions!$C$142/12</f>
        <v/>
      </c>
      <c r="E29" s="19">
        <f>'Headcount'!E16*Assumptions!$C$142/12</f>
        <v/>
      </c>
      <c r="F29" s="19">
        <f>'Headcount'!F16*Assumptions!$C$142/12</f>
        <v/>
      </c>
      <c r="G29" s="19">
        <f>'Headcount'!G16*Assumptions!$C$142/12</f>
        <v/>
      </c>
      <c r="H29" s="19">
        <f>'Headcount'!H16*Assumptions!$C$142/12</f>
        <v/>
      </c>
      <c r="I29" s="19">
        <f>'Headcount'!I16*Assumptions!$C$142/12</f>
        <v/>
      </c>
      <c r="J29" s="19">
        <f>'Headcount'!J16*Assumptions!$C$142/12</f>
        <v/>
      </c>
      <c r="K29" s="19">
        <f>'Headcount'!K16*Assumptions!$C$142/12</f>
        <v/>
      </c>
      <c r="L29" s="19">
        <f>'Headcount'!L16*Assumptions!$C$142/12</f>
        <v/>
      </c>
      <c r="M29" s="19">
        <f>'Headcount'!M16*Assumptions!$C$142/12</f>
        <v/>
      </c>
      <c r="N29" s="19">
        <f>'Headcount'!N16*Assumptions!$C$142/12</f>
        <v/>
      </c>
      <c r="O29" s="19">
        <f>'Headcount'!O16*Assumptions!$C$142/12</f>
        <v/>
      </c>
      <c r="P29" s="19">
        <f>'Headcount'!P16*Assumptions!$C$142/12</f>
        <v/>
      </c>
      <c r="Q29" s="19">
        <f>'Headcount'!Q16*Assumptions!$C$142/12</f>
        <v/>
      </c>
      <c r="R29" s="19">
        <f>'Headcount'!R16*Assumptions!$C$142/12</f>
        <v/>
      </c>
      <c r="S29" s="19">
        <f>'Headcount'!S16*Assumptions!$C$142/12</f>
        <v/>
      </c>
      <c r="T29" s="19">
        <f>'Headcount'!T16*Assumptions!$C$142/12</f>
        <v/>
      </c>
      <c r="U29" s="19">
        <f>'Headcount'!U16*Assumptions!$C$142/12</f>
        <v/>
      </c>
      <c r="V29" s="19">
        <f>'Headcount'!V16*Assumptions!$C$142/12</f>
        <v/>
      </c>
      <c r="W29" s="19">
        <f>'Headcount'!W16*Assumptions!$C$142/12</f>
        <v/>
      </c>
      <c r="X29" s="19">
        <f>'Headcount'!X16*Assumptions!$C$142/12</f>
        <v/>
      </c>
      <c r="Y29" s="19">
        <f>'Headcount'!Y16*Assumptions!$C$142/12</f>
        <v/>
      </c>
      <c r="Z29" s="19">
        <f>'Headcount'!Z16*Assumptions!$C$142/12</f>
        <v/>
      </c>
      <c r="AA29" s="19">
        <f>'Headcount'!AA16*Assumptions!$C$142/12</f>
        <v/>
      </c>
      <c r="AB29" s="19">
        <f>'Headcount'!AB16*Assumptions!$C$142/12</f>
        <v/>
      </c>
      <c r="AC29" s="19">
        <f>'Headcount'!AC16*Assumptions!$C$142/12</f>
        <v/>
      </c>
      <c r="AD29" s="19">
        <f>'Headcount'!AD16*Assumptions!$C$142/12</f>
        <v/>
      </c>
      <c r="AE29" s="19">
        <f>'Headcount'!AE16*Assumptions!$C$142/12</f>
        <v/>
      </c>
      <c r="AF29" s="19">
        <f>'Headcount'!AF16*Assumptions!$C$142/12</f>
        <v/>
      </c>
      <c r="AG29" s="19">
        <f>'Headcount'!AG16*Assumptions!$C$142/12</f>
        <v/>
      </c>
      <c r="AH29" s="19">
        <f>'Headcount'!AH16*Assumptions!$C$142/12</f>
        <v/>
      </c>
      <c r="AI29" s="19">
        <f>'Headcount'!AI16*Assumptions!$C$142/12</f>
        <v/>
      </c>
      <c r="AJ29" s="19">
        <f>'Headcount'!AJ16*Assumptions!$C$142/12</f>
        <v/>
      </c>
      <c r="AK29" s="19">
        <f>'Headcount'!AK16*Assumptions!$C$142/12</f>
        <v/>
      </c>
      <c r="AL29" s="19">
        <f>'Headcount'!AL16*Assumptions!$C$142/12</f>
        <v/>
      </c>
      <c r="AN29" s="19">
        <f>SUMIF($C$5:$AL$5,AN$5,C29:AL29)</f>
        <v/>
      </c>
      <c r="AO29" s="19">
        <f>SUMIF($C$5:$AL$5,AO$5,C29:AL29)</f>
        <v/>
      </c>
      <c r="AP29" s="19">
        <f>SUMIF($C$5:$AL$5,AP$5,C29:AL29)</f>
        <v/>
      </c>
      <c r="AQ29" s="19">
        <f>SUM(C29:AL29)</f>
        <v/>
      </c>
    </row>
    <row r="30">
      <c r="A30" s="22" t="inlineStr">
        <is>
          <t>Senior consultant (billable)</t>
        </is>
      </c>
      <c r="B30" s="4" t="inlineStr"/>
      <c r="C30" s="19">
        <f>'Headcount'!C17*Assumptions!$C$143/12</f>
        <v/>
      </c>
      <c r="D30" s="19">
        <f>'Headcount'!D17*Assumptions!$C$143/12</f>
        <v/>
      </c>
      <c r="E30" s="19">
        <f>'Headcount'!E17*Assumptions!$C$143/12</f>
        <v/>
      </c>
      <c r="F30" s="19">
        <f>'Headcount'!F17*Assumptions!$C$143/12</f>
        <v/>
      </c>
      <c r="G30" s="19">
        <f>'Headcount'!G17*Assumptions!$C$143/12</f>
        <v/>
      </c>
      <c r="H30" s="19">
        <f>'Headcount'!H17*Assumptions!$C$143/12</f>
        <v/>
      </c>
      <c r="I30" s="19">
        <f>'Headcount'!I17*Assumptions!$C$143/12</f>
        <v/>
      </c>
      <c r="J30" s="19">
        <f>'Headcount'!J17*Assumptions!$C$143/12</f>
        <v/>
      </c>
      <c r="K30" s="19">
        <f>'Headcount'!K17*Assumptions!$C$143/12</f>
        <v/>
      </c>
      <c r="L30" s="19">
        <f>'Headcount'!L17*Assumptions!$C$143/12</f>
        <v/>
      </c>
      <c r="M30" s="19">
        <f>'Headcount'!M17*Assumptions!$C$143/12</f>
        <v/>
      </c>
      <c r="N30" s="19">
        <f>'Headcount'!N17*Assumptions!$C$143/12</f>
        <v/>
      </c>
      <c r="O30" s="19">
        <f>'Headcount'!O17*Assumptions!$C$143/12</f>
        <v/>
      </c>
      <c r="P30" s="19">
        <f>'Headcount'!P17*Assumptions!$C$143/12</f>
        <v/>
      </c>
      <c r="Q30" s="19">
        <f>'Headcount'!Q17*Assumptions!$C$143/12</f>
        <v/>
      </c>
      <c r="R30" s="19">
        <f>'Headcount'!R17*Assumptions!$C$143/12</f>
        <v/>
      </c>
      <c r="S30" s="19">
        <f>'Headcount'!S17*Assumptions!$C$143/12</f>
        <v/>
      </c>
      <c r="T30" s="19">
        <f>'Headcount'!T17*Assumptions!$C$143/12</f>
        <v/>
      </c>
      <c r="U30" s="19">
        <f>'Headcount'!U17*Assumptions!$C$143/12</f>
        <v/>
      </c>
      <c r="V30" s="19">
        <f>'Headcount'!V17*Assumptions!$C$143/12</f>
        <v/>
      </c>
      <c r="W30" s="19">
        <f>'Headcount'!W17*Assumptions!$C$143/12</f>
        <v/>
      </c>
      <c r="X30" s="19">
        <f>'Headcount'!X17*Assumptions!$C$143/12</f>
        <v/>
      </c>
      <c r="Y30" s="19">
        <f>'Headcount'!Y17*Assumptions!$C$143/12</f>
        <v/>
      </c>
      <c r="Z30" s="19">
        <f>'Headcount'!Z17*Assumptions!$C$143/12</f>
        <v/>
      </c>
      <c r="AA30" s="19">
        <f>'Headcount'!AA17*Assumptions!$C$143/12</f>
        <v/>
      </c>
      <c r="AB30" s="19">
        <f>'Headcount'!AB17*Assumptions!$C$143/12</f>
        <v/>
      </c>
      <c r="AC30" s="19">
        <f>'Headcount'!AC17*Assumptions!$C$143/12</f>
        <v/>
      </c>
      <c r="AD30" s="19">
        <f>'Headcount'!AD17*Assumptions!$C$143/12</f>
        <v/>
      </c>
      <c r="AE30" s="19">
        <f>'Headcount'!AE17*Assumptions!$C$143/12</f>
        <v/>
      </c>
      <c r="AF30" s="19">
        <f>'Headcount'!AF17*Assumptions!$C$143/12</f>
        <v/>
      </c>
      <c r="AG30" s="19">
        <f>'Headcount'!AG17*Assumptions!$C$143/12</f>
        <v/>
      </c>
      <c r="AH30" s="19">
        <f>'Headcount'!AH17*Assumptions!$C$143/12</f>
        <v/>
      </c>
      <c r="AI30" s="19">
        <f>'Headcount'!AI17*Assumptions!$C$143/12</f>
        <v/>
      </c>
      <c r="AJ30" s="19">
        <f>'Headcount'!AJ17*Assumptions!$C$143/12</f>
        <v/>
      </c>
      <c r="AK30" s="19">
        <f>'Headcount'!AK17*Assumptions!$C$143/12</f>
        <v/>
      </c>
      <c r="AL30" s="19">
        <f>'Headcount'!AL17*Assumptions!$C$143/12</f>
        <v/>
      </c>
      <c r="AN30" s="19">
        <f>SUMIF($C$5:$AL$5,AN$5,C30:AL30)</f>
        <v/>
      </c>
      <c r="AO30" s="19">
        <f>SUMIF($C$5:$AL$5,AO$5,C30:AL30)</f>
        <v/>
      </c>
      <c r="AP30" s="19">
        <f>SUMIF($C$5:$AL$5,AP$5,C30:AL30)</f>
        <v/>
      </c>
      <c r="AQ30" s="19">
        <f>SUM(C30:AL30)</f>
        <v/>
      </c>
    </row>
    <row r="31">
      <c r="A31" s="7" t="inlineStr">
        <is>
          <t>Total gross salaries</t>
        </is>
      </c>
      <c r="B31" s="4" t="inlineStr"/>
      <c r="C31" s="26">
        <f>SUM(C21:C30)</f>
        <v/>
      </c>
      <c r="D31" s="26">
        <f>SUM(D21:D30)</f>
        <v/>
      </c>
      <c r="E31" s="26">
        <f>SUM(E21:E30)</f>
        <v/>
      </c>
      <c r="F31" s="26">
        <f>SUM(F21:F30)</f>
        <v/>
      </c>
      <c r="G31" s="26">
        <f>SUM(G21:G30)</f>
        <v/>
      </c>
      <c r="H31" s="26">
        <f>SUM(H21:H30)</f>
        <v/>
      </c>
      <c r="I31" s="26">
        <f>SUM(I21:I30)</f>
        <v/>
      </c>
      <c r="J31" s="26">
        <f>SUM(J21:J30)</f>
        <v/>
      </c>
      <c r="K31" s="26">
        <f>SUM(K21:K30)</f>
        <v/>
      </c>
      <c r="L31" s="26">
        <f>SUM(L21:L30)</f>
        <v/>
      </c>
      <c r="M31" s="26">
        <f>SUM(M21:M30)</f>
        <v/>
      </c>
      <c r="N31" s="26">
        <f>SUM(N21:N30)</f>
        <v/>
      </c>
      <c r="O31" s="26">
        <f>SUM(O21:O30)</f>
        <v/>
      </c>
      <c r="P31" s="26">
        <f>SUM(P21:P30)</f>
        <v/>
      </c>
      <c r="Q31" s="26">
        <f>SUM(Q21:Q30)</f>
        <v/>
      </c>
      <c r="R31" s="26">
        <f>SUM(R21:R30)</f>
        <v/>
      </c>
      <c r="S31" s="26">
        <f>SUM(S21:S30)</f>
        <v/>
      </c>
      <c r="T31" s="26">
        <f>SUM(T21:T30)</f>
        <v/>
      </c>
      <c r="U31" s="26">
        <f>SUM(U21:U30)</f>
        <v/>
      </c>
      <c r="V31" s="26">
        <f>SUM(V21:V30)</f>
        <v/>
      </c>
      <c r="W31" s="26">
        <f>SUM(W21:W30)</f>
        <v/>
      </c>
      <c r="X31" s="26">
        <f>SUM(X21:X30)</f>
        <v/>
      </c>
      <c r="Y31" s="26">
        <f>SUM(Y21:Y30)</f>
        <v/>
      </c>
      <c r="Z31" s="26">
        <f>SUM(Z21:Z30)</f>
        <v/>
      </c>
      <c r="AA31" s="26">
        <f>SUM(AA21:AA30)</f>
        <v/>
      </c>
      <c r="AB31" s="26">
        <f>SUM(AB21:AB30)</f>
        <v/>
      </c>
      <c r="AC31" s="26">
        <f>SUM(AC21:AC30)</f>
        <v/>
      </c>
      <c r="AD31" s="26">
        <f>SUM(AD21:AD30)</f>
        <v/>
      </c>
      <c r="AE31" s="26">
        <f>SUM(AE21:AE30)</f>
        <v/>
      </c>
      <c r="AF31" s="26">
        <f>SUM(AF21:AF30)</f>
        <v/>
      </c>
      <c r="AG31" s="26">
        <f>SUM(AG21:AG30)</f>
        <v/>
      </c>
      <c r="AH31" s="26">
        <f>SUM(AH21:AH30)</f>
        <v/>
      </c>
      <c r="AI31" s="26">
        <f>SUM(AI21:AI30)</f>
        <v/>
      </c>
      <c r="AJ31" s="26">
        <f>SUM(AJ21:AJ30)</f>
        <v/>
      </c>
      <c r="AK31" s="26">
        <f>SUM(AK21:AK30)</f>
        <v/>
      </c>
      <c r="AL31" s="26">
        <f>SUM(AL21:AL30)</f>
        <v/>
      </c>
      <c r="AN31" s="26">
        <f>SUMIF($C$5:$AL$5,AN$5,C31:AL31)</f>
        <v/>
      </c>
      <c r="AO31" s="26">
        <f>SUMIF($C$5:$AL$5,AO$5,C31:AL31)</f>
        <v/>
      </c>
      <c r="AP31" s="26">
        <f>SUMIF($C$5:$AL$5,AP$5,C31:AL31)</f>
        <v/>
      </c>
      <c r="AQ31" s="26">
        <f>SUM(C31:AL31)</f>
        <v/>
      </c>
    </row>
    <row r="33">
      <c r="A33" s="9" t="inlineStr">
        <is>
          <t>EMPLOYER NATIONAL INSURANCE (monthly)</t>
        </is>
      </c>
      <c r="B33" s="10" t="n"/>
      <c r="C33" s="10" t="n"/>
      <c r="D33" s="10" t="n"/>
      <c r="E33" s="10" t="n"/>
      <c r="F33" s="10" t="n"/>
      <c r="G33" s="10" t="n"/>
      <c r="H33" s="10" t="n"/>
      <c r="I33" s="10" t="n"/>
      <c r="J33" s="10" t="n"/>
      <c r="K33" s="10" t="n"/>
      <c r="L33" s="10" t="n"/>
      <c r="M33" s="10" t="n"/>
      <c r="N33" s="10" t="n"/>
      <c r="O33" s="10" t="n"/>
      <c r="P33" s="10" t="n"/>
      <c r="Q33" s="10" t="n"/>
      <c r="R33" s="10" t="n"/>
      <c r="S33" s="10" t="n"/>
      <c r="T33" s="10" t="n"/>
      <c r="U33" s="10" t="n"/>
      <c r="V33" s="10" t="n"/>
      <c r="W33" s="10" t="n"/>
      <c r="X33" s="10" t="n"/>
      <c r="Y33" s="10" t="n"/>
      <c r="Z33" s="10" t="n"/>
      <c r="AA33" s="10" t="n"/>
      <c r="AB33" s="10" t="n"/>
      <c r="AC33" s="10" t="n"/>
      <c r="AD33" s="10" t="n"/>
      <c r="AE33" s="10" t="n"/>
      <c r="AF33" s="10" t="n"/>
      <c r="AG33" s="10" t="n"/>
      <c r="AH33" s="10" t="n"/>
      <c r="AI33" s="10" t="n"/>
      <c r="AJ33" s="10" t="n"/>
      <c r="AK33" s="10" t="n"/>
      <c r="AL33" s="10" t="n"/>
      <c r="AM33" s="10" t="n"/>
      <c r="AN33" s="10" t="n"/>
      <c r="AO33" s="10" t="n"/>
      <c r="AP33" s="10" t="n"/>
      <c r="AQ33" s="10" t="n"/>
    </row>
    <row r="34">
      <c r="A34" s="22" t="inlineStr">
        <is>
          <t>Founder</t>
        </is>
      </c>
      <c r="B34" s="4" t="inlineStr"/>
      <c r="C34" s="19">
        <f>'Headcount'!C8*Assumptions!$D$134/12</f>
        <v/>
      </c>
      <c r="D34" s="19">
        <f>'Headcount'!D8*Assumptions!$D$134/12</f>
        <v/>
      </c>
      <c r="E34" s="19">
        <f>'Headcount'!E8*Assumptions!$D$134/12</f>
        <v/>
      </c>
      <c r="F34" s="19">
        <f>'Headcount'!F8*Assumptions!$D$134/12</f>
        <v/>
      </c>
      <c r="G34" s="19">
        <f>'Headcount'!G8*Assumptions!$D$134/12</f>
        <v/>
      </c>
      <c r="H34" s="19">
        <f>'Headcount'!H8*Assumptions!$D$134/12</f>
        <v/>
      </c>
      <c r="I34" s="19">
        <f>'Headcount'!I8*Assumptions!$D$134/12</f>
        <v/>
      </c>
      <c r="J34" s="19">
        <f>'Headcount'!J8*Assumptions!$D$134/12</f>
        <v/>
      </c>
      <c r="K34" s="19">
        <f>'Headcount'!K8*Assumptions!$D$134/12</f>
        <v/>
      </c>
      <c r="L34" s="19">
        <f>'Headcount'!L8*Assumptions!$D$134/12</f>
        <v/>
      </c>
      <c r="M34" s="19">
        <f>'Headcount'!M8*Assumptions!$D$134/12</f>
        <v/>
      </c>
      <c r="N34" s="19">
        <f>'Headcount'!N8*Assumptions!$D$134/12</f>
        <v/>
      </c>
      <c r="O34" s="19">
        <f>'Headcount'!O8*Assumptions!$D$134/12</f>
        <v/>
      </c>
      <c r="P34" s="19">
        <f>'Headcount'!P8*Assumptions!$D$134/12</f>
        <v/>
      </c>
      <c r="Q34" s="19">
        <f>'Headcount'!Q8*Assumptions!$D$134/12</f>
        <v/>
      </c>
      <c r="R34" s="19">
        <f>'Headcount'!R8*Assumptions!$D$134/12</f>
        <v/>
      </c>
      <c r="S34" s="19">
        <f>'Headcount'!S8*Assumptions!$D$134/12</f>
        <v/>
      </c>
      <c r="T34" s="19">
        <f>'Headcount'!T8*Assumptions!$D$134/12</f>
        <v/>
      </c>
      <c r="U34" s="19">
        <f>'Headcount'!U8*Assumptions!$D$134/12</f>
        <v/>
      </c>
      <c r="V34" s="19">
        <f>'Headcount'!V8*Assumptions!$D$134/12</f>
        <v/>
      </c>
      <c r="W34" s="19">
        <f>'Headcount'!W8*Assumptions!$D$134/12</f>
        <v/>
      </c>
      <c r="X34" s="19">
        <f>'Headcount'!X8*Assumptions!$D$134/12</f>
        <v/>
      </c>
      <c r="Y34" s="19">
        <f>'Headcount'!Y8*Assumptions!$D$134/12</f>
        <v/>
      </c>
      <c r="Z34" s="19">
        <f>'Headcount'!Z8*Assumptions!$D$134/12</f>
        <v/>
      </c>
      <c r="AA34" s="19">
        <f>'Headcount'!AA8*Assumptions!$D$134/12</f>
        <v/>
      </c>
      <c r="AB34" s="19">
        <f>'Headcount'!AB8*Assumptions!$D$134/12</f>
        <v/>
      </c>
      <c r="AC34" s="19">
        <f>'Headcount'!AC8*Assumptions!$D$134/12</f>
        <v/>
      </c>
      <c r="AD34" s="19">
        <f>'Headcount'!AD8*Assumptions!$D$134/12</f>
        <v/>
      </c>
      <c r="AE34" s="19">
        <f>'Headcount'!AE8*Assumptions!$D$134/12</f>
        <v/>
      </c>
      <c r="AF34" s="19">
        <f>'Headcount'!AF8*Assumptions!$D$134/12</f>
        <v/>
      </c>
      <c r="AG34" s="19">
        <f>'Headcount'!AG8*Assumptions!$D$134/12</f>
        <v/>
      </c>
      <c r="AH34" s="19">
        <f>'Headcount'!AH8*Assumptions!$D$134/12</f>
        <v/>
      </c>
      <c r="AI34" s="19">
        <f>'Headcount'!AI8*Assumptions!$D$134/12</f>
        <v/>
      </c>
      <c r="AJ34" s="19">
        <f>'Headcount'!AJ8*Assumptions!$D$134/12</f>
        <v/>
      </c>
      <c r="AK34" s="19">
        <f>'Headcount'!AK8*Assumptions!$D$134/12</f>
        <v/>
      </c>
      <c r="AL34" s="19">
        <f>'Headcount'!AL8*Assumptions!$D$134/12</f>
        <v/>
      </c>
      <c r="AN34" s="19">
        <f>SUMIF($C$5:$AL$5,AN$5,C34:AL34)</f>
        <v/>
      </c>
      <c r="AO34" s="19">
        <f>SUMIF($C$5:$AL$5,AO$5,C34:AL34)</f>
        <v/>
      </c>
      <c r="AP34" s="19">
        <f>SUMIF($C$5:$AL$5,AP$5,C34:AL34)</f>
        <v/>
      </c>
      <c r="AQ34" s="19">
        <f>SUM(C34:AL34)</f>
        <v/>
      </c>
    </row>
    <row r="35">
      <c r="A35" s="22" t="inlineStr">
        <is>
          <t>Product lead / CTO</t>
        </is>
      </c>
      <c r="B35" s="4" t="inlineStr"/>
      <c r="C35" s="19">
        <f>'Headcount'!C9*Assumptions!$D$135/12</f>
        <v/>
      </c>
      <c r="D35" s="19">
        <f>'Headcount'!D9*Assumptions!$D$135/12</f>
        <v/>
      </c>
      <c r="E35" s="19">
        <f>'Headcount'!E9*Assumptions!$D$135/12</f>
        <v/>
      </c>
      <c r="F35" s="19">
        <f>'Headcount'!F9*Assumptions!$D$135/12</f>
        <v/>
      </c>
      <c r="G35" s="19">
        <f>'Headcount'!G9*Assumptions!$D$135/12</f>
        <v/>
      </c>
      <c r="H35" s="19">
        <f>'Headcount'!H9*Assumptions!$D$135/12</f>
        <v/>
      </c>
      <c r="I35" s="19">
        <f>'Headcount'!I9*Assumptions!$D$135/12</f>
        <v/>
      </c>
      <c r="J35" s="19">
        <f>'Headcount'!J9*Assumptions!$D$135/12</f>
        <v/>
      </c>
      <c r="K35" s="19">
        <f>'Headcount'!K9*Assumptions!$D$135/12</f>
        <v/>
      </c>
      <c r="L35" s="19">
        <f>'Headcount'!L9*Assumptions!$D$135/12</f>
        <v/>
      </c>
      <c r="M35" s="19">
        <f>'Headcount'!M9*Assumptions!$D$135/12</f>
        <v/>
      </c>
      <c r="N35" s="19">
        <f>'Headcount'!N9*Assumptions!$D$135/12</f>
        <v/>
      </c>
      <c r="O35" s="19">
        <f>'Headcount'!O9*Assumptions!$D$135/12</f>
        <v/>
      </c>
      <c r="P35" s="19">
        <f>'Headcount'!P9*Assumptions!$D$135/12</f>
        <v/>
      </c>
      <c r="Q35" s="19">
        <f>'Headcount'!Q9*Assumptions!$D$135/12</f>
        <v/>
      </c>
      <c r="R35" s="19">
        <f>'Headcount'!R9*Assumptions!$D$135/12</f>
        <v/>
      </c>
      <c r="S35" s="19">
        <f>'Headcount'!S9*Assumptions!$D$135/12</f>
        <v/>
      </c>
      <c r="T35" s="19">
        <f>'Headcount'!T9*Assumptions!$D$135/12</f>
        <v/>
      </c>
      <c r="U35" s="19">
        <f>'Headcount'!U9*Assumptions!$D$135/12</f>
        <v/>
      </c>
      <c r="V35" s="19">
        <f>'Headcount'!V9*Assumptions!$D$135/12</f>
        <v/>
      </c>
      <c r="W35" s="19">
        <f>'Headcount'!W9*Assumptions!$D$135/12</f>
        <v/>
      </c>
      <c r="X35" s="19">
        <f>'Headcount'!X9*Assumptions!$D$135/12</f>
        <v/>
      </c>
      <c r="Y35" s="19">
        <f>'Headcount'!Y9*Assumptions!$D$135/12</f>
        <v/>
      </c>
      <c r="Z35" s="19">
        <f>'Headcount'!Z9*Assumptions!$D$135/12</f>
        <v/>
      </c>
      <c r="AA35" s="19">
        <f>'Headcount'!AA9*Assumptions!$D$135/12</f>
        <v/>
      </c>
      <c r="AB35" s="19">
        <f>'Headcount'!AB9*Assumptions!$D$135/12</f>
        <v/>
      </c>
      <c r="AC35" s="19">
        <f>'Headcount'!AC9*Assumptions!$D$135/12</f>
        <v/>
      </c>
      <c r="AD35" s="19">
        <f>'Headcount'!AD9*Assumptions!$D$135/12</f>
        <v/>
      </c>
      <c r="AE35" s="19">
        <f>'Headcount'!AE9*Assumptions!$D$135/12</f>
        <v/>
      </c>
      <c r="AF35" s="19">
        <f>'Headcount'!AF9*Assumptions!$D$135/12</f>
        <v/>
      </c>
      <c r="AG35" s="19">
        <f>'Headcount'!AG9*Assumptions!$D$135/12</f>
        <v/>
      </c>
      <c r="AH35" s="19">
        <f>'Headcount'!AH9*Assumptions!$D$135/12</f>
        <v/>
      </c>
      <c r="AI35" s="19">
        <f>'Headcount'!AI9*Assumptions!$D$135/12</f>
        <v/>
      </c>
      <c r="AJ35" s="19">
        <f>'Headcount'!AJ9*Assumptions!$D$135/12</f>
        <v/>
      </c>
      <c r="AK35" s="19">
        <f>'Headcount'!AK9*Assumptions!$D$135/12</f>
        <v/>
      </c>
      <c r="AL35" s="19">
        <f>'Headcount'!AL9*Assumptions!$D$135/12</f>
        <v/>
      </c>
      <c r="AN35" s="19">
        <f>SUMIF($C$5:$AL$5,AN$5,C35:AL35)</f>
        <v/>
      </c>
      <c r="AO35" s="19">
        <f>SUMIF($C$5:$AL$5,AO$5,C35:AL35)</f>
        <v/>
      </c>
      <c r="AP35" s="19">
        <f>SUMIF($C$5:$AL$5,AP$5,C35:AL35)</f>
        <v/>
      </c>
      <c r="AQ35" s="19">
        <f>SUM(C35:AL35)</f>
        <v/>
      </c>
    </row>
    <row r="36">
      <c r="A36" s="22" t="inlineStr">
        <is>
          <t>Developer 1</t>
        </is>
      </c>
      <c r="B36" s="4" t="inlineStr"/>
      <c r="C36" s="19">
        <f>'Headcount'!C10*Assumptions!$D$136/12</f>
        <v/>
      </c>
      <c r="D36" s="19">
        <f>'Headcount'!D10*Assumptions!$D$136/12</f>
        <v/>
      </c>
      <c r="E36" s="19">
        <f>'Headcount'!E10*Assumptions!$D$136/12</f>
        <v/>
      </c>
      <c r="F36" s="19">
        <f>'Headcount'!F10*Assumptions!$D$136/12</f>
        <v/>
      </c>
      <c r="G36" s="19">
        <f>'Headcount'!G10*Assumptions!$D$136/12</f>
        <v/>
      </c>
      <c r="H36" s="19">
        <f>'Headcount'!H10*Assumptions!$D$136/12</f>
        <v/>
      </c>
      <c r="I36" s="19">
        <f>'Headcount'!I10*Assumptions!$D$136/12</f>
        <v/>
      </c>
      <c r="J36" s="19">
        <f>'Headcount'!J10*Assumptions!$D$136/12</f>
        <v/>
      </c>
      <c r="K36" s="19">
        <f>'Headcount'!K10*Assumptions!$D$136/12</f>
        <v/>
      </c>
      <c r="L36" s="19">
        <f>'Headcount'!L10*Assumptions!$D$136/12</f>
        <v/>
      </c>
      <c r="M36" s="19">
        <f>'Headcount'!M10*Assumptions!$D$136/12</f>
        <v/>
      </c>
      <c r="N36" s="19">
        <f>'Headcount'!N10*Assumptions!$D$136/12</f>
        <v/>
      </c>
      <c r="O36" s="19">
        <f>'Headcount'!O10*Assumptions!$D$136/12</f>
        <v/>
      </c>
      <c r="P36" s="19">
        <f>'Headcount'!P10*Assumptions!$D$136/12</f>
        <v/>
      </c>
      <c r="Q36" s="19">
        <f>'Headcount'!Q10*Assumptions!$D$136/12</f>
        <v/>
      </c>
      <c r="R36" s="19">
        <f>'Headcount'!R10*Assumptions!$D$136/12</f>
        <v/>
      </c>
      <c r="S36" s="19">
        <f>'Headcount'!S10*Assumptions!$D$136/12</f>
        <v/>
      </c>
      <c r="T36" s="19">
        <f>'Headcount'!T10*Assumptions!$D$136/12</f>
        <v/>
      </c>
      <c r="U36" s="19">
        <f>'Headcount'!U10*Assumptions!$D$136/12</f>
        <v/>
      </c>
      <c r="V36" s="19">
        <f>'Headcount'!V10*Assumptions!$D$136/12</f>
        <v/>
      </c>
      <c r="W36" s="19">
        <f>'Headcount'!W10*Assumptions!$D$136/12</f>
        <v/>
      </c>
      <c r="X36" s="19">
        <f>'Headcount'!X10*Assumptions!$D$136/12</f>
        <v/>
      </c>
      <c r="Y36" s="19">
        <f>'Headcount'!Y10*Assumptions!$D$136/12</f>
        <v/>
      </c>
      <c r="Z36" s="19">
        <f>'Headcount'!Z10*Assumptions!$D$136/12</f>
        <v/>
      </c>
      <c r="AA36" s="19">
        <f>'Headcount'!AA10*Assumptions!$D$136/12</f>
        <v/>
      </c>
      <c r="AB36" s="19">
        <f>'Headcount'!AB10*Assumptions!$D$136/12</f>
        <v/>
      </c>
      <c r="AC36" s="19">
        <f>'Headcount'!AC10*Assumptions!$D$136/12</f>
        <v/>
      </c>
      <c r="AD36" s="19">
        <f>'Headcount'!AD10*Assumptions!$D$136/12</f>
        <v/>
      </c>
      <c r="AE36" s="19">
        <f>'Headcount'!AE10*Assumptions!$D$136/12</f>
        <v/>
      </c>
      <c r="AF36" s="19">
        <f>'Headcount'!AF10*Assumptions!$D$136/12</f>
        <v/>
      </c>
      <c r="AG36" s="19">
        <f>'Headcount'!AG10*Assumptions!$D$136/12</f>
        <v/>
      </c>
      <c r="AH36" s="19">
        <f>'Headcount'!AH10*Assumptions!$D$136/12</f>
        <v/>
      </c>
      <c r="AI36" s="19">
        <f>'Headcount'!AI10*Assumptions!$D$136/12</f>
        <v/>
      </c>
      <c r="AJ36" s="19">
        <f>'Headcount'!AJ10*Assumptions!$D$136/12</f>
        <v/>
      </c>
      <c r="AK36" s="19">
        <f>'Headcount'!AK10*Assumptions!$D$136/12</f>
        <v/>
      </c>
      <c r="AL36" s="19">
        <f>'Headcount'!AL10*Assumptions!$D$136/12</f>
        <v/>
      </c>
      <c r="AN36" s="19">
        <f>SUMIF($C$5:$AL$5,AN$5,C36:AL36)</f>
        <v/>
      </c>
      <c r="AO36" s="19">
        <f>SUMIF($C$5:$AL$5,AO$5,C36:AL36)</f>
        <v/>
      </c>
      <c r="AP36" s="19">
        <f>SUMIF($C$5:$AL$5,AP$5,C36:AL36)</f>
        <v/>
      </c>
      <c r="AQ36" s="19">
        <f>SUM(C36:AL36)</f>
        <v/>
      </c>
    </row>
    <row r="37">
      <c r="A37" s="22" t="inlineStr">
        <is>
          <t>Developer 2</t>
        </is>
      </c>
      <c r="B37" s="4" t="inlineStr"/>
      <c r="C37" s="19">
        <f>'Headcount'!C11*Assumptions!$D$137/12</f>
        <v/>
      </c>
      <c r="D37" s="19">
        <f>'Headcount'!D11*Assumptions!$D$137/12</f>
        <v/>
      </c>
      <c r="E37" s="19">
        <f>'Headcount'!E11*Assumptions!$D$137/12</f>
        <v/>
      </c>
      <c r="F37" s="19">
        <f>'Headcount'!F11*Assumptions!$D$137/12</f>
        <v/>
      </c>
      <c r="G37" s="19">
        <f>'Headcount'!G11*Assumptions!$D$137/12</f>
        <v/>
      </c>
      <c r="H37" s="19">
        <f>'Headcount'!H11*Assumptions!$D$137/12</f>
        <v/>
      </c>
      <c r="I37" s="19">
        <f>'Headcount'!I11*Assumptions!$D$137/12</f>
        <v/>
      </c>
      <c r="J37" s="19">
        <f>'Headcount'!J11*Assumptions!$D$137/12</f>
        <v/>
      </c>
      <c r="K37" s="19">
        <f>'Headcount'!K11*Assumptions!$D$137/12</f>
        <v/>
      </c>
      <c r="L37" s="19">
        <f>'Headcount'!L11*Assumptions!$D$137/12</f>
        <v/>
      </c>
      <c r="M37" s="19">
        <f>'Headcount'!M11*Assumptions!$D$137/12</f>
        <v/>
      </c>
      <c r="N37" s="19">
        <f>'Headcount'!N11*Assumptions!$D$137/12</f>
        <v/>
      </c>
      <c r="O37" s="19">
        <f>'Headcount'!O11*Assumptions!$D$137/12</f>
        <v/>
      </c>
      <c r="P37" s="19">
        <f>'Headcount'!P11*Assumptions!$D$137/12</f>
        <v/>
      </c>
      <c r="Q37" s="19">
        <f>'Headcount'!Q11*Assumptions!$D$137/12</f>
        <v/>
      </c>
      <c r="R37" s="19">
        <f>'Headcount'!R11*Assumptions!$D$137/12</f>
        <v/>
      </c>
      <c r="S37" s="19">
        <f>'Headcount'!S11*Assumptions!$D$137/12</f>
        <v/>
      </c>
      <c r="T37" s="19">
        <f>'Headcount'!T11*Assumptions!$D$137/12</f>
        <v/>
      </c>
      <c r="U37" s="19">
        <f>'Headcount'!U11*Assumptions!$D$137/12</f>
        <v/>
      </c>
      <c r="V37" s="19">
        <f>'Headcount'!V11*Assumptions!$D$137/12</f>
        <v/>
      </c>
      <c r="W37" s="19">
        <f>'Headcount'!W11*Assumptions!$D$137/12</f>
        <v/>
      </c>
      <c r="X37" s="19">
        <f>'Headcount'!X11*Assumptions!$D$137/12</f>
        <v/>
      </c>
      <c r="Y37" s="19">
        <f>'Headcount'!Y11*Assumptions!$D$137/12</f>
        <v/>
      </c>
      <c r="Z37" s="19">
        <f>'Headcount'!Z11*Assumptions!$D$137/12</f>
        <v/>
      </c>
      <c r="AA37" s="19">
        <f>'Headcount'!AA11*Assumptions!$D$137/12</f>
        <v/>
      </c>
      <c r="AB37" s="19">
        <f>'Headcount'!AB11*Assumptions!$D$137/12</f>
        <v/>
      </c>
      <c r="AC37" s="19">
        <f>'Headcount'!AC11*Assumptions!$D$137/12</f>
        <v/>
      </c>
      <c r="AD37" s="19">
        <f>'Headcount'!AD11*Assumptions!$D$137/12</f>
        <v/>
      </c>
      <c r="AE37" s="19">
        <f>'Headcount'!AE11*Assumptions!$D$137/12</f>
        <v/>
      </c>
      <c r="AF37" s="19">
        <f>'Headcount'!AF11*Assumptions!$D$137/12</f>
        <v/>
      </c>
      <c r="AG37" s="19">
        <f>'Headcount'!AG11*Assumptions!$D$137/12</f>
        <v/>
      </c>
      <c r="AH37" s="19">
        <f>'Headcount'!AH11*Assumptions!$D$137/12</f>
        <v/>
      </c>
      <c r="AI37" s="19">
        <f>'Headcount'!AI11*Assumptions!$D$137/12</f>
        <v/>
      </c>
      <c r="AJ37" s="19">
        <f>'Headcount'!AJ11*Assumptions!$D$137/12</f>
        <v/>
      </c>
      <c r="AK37" s="19">
        <f>'Headcount'!AK11*Assumptions!$D$137/12</f>
        <v/>
      </c>
      <c r="AL37" s="19">
        <f>'Headcount'!AL11*Assumptions!$D$137/12</f>
        <v/>
      </c>
      <c r="AN37" s="19">
        <f>SUMIF($C$5:$AL$5,AN$5,C37:AL37)</f>
        <v/>
      </c>
      <c r="AO37" s="19">
        <f>SUMIF($C$5:$AL$5,AO$5,C37:AL37)</f>
        <v/>
      </c>
      <c r="AP37" s="19">
        <f>SUMIF($C$5:$AL$5,AP$5,C37:AL37)</f>
        <v/>
      </c>
      <c r="AQ37" s="19">
        <f>SUM(C37:AL37)</f>
        <v/>
      </c>
    </row>
    <row r="38">
      <c r="A38" s="22" t="inlineStr">
        <is>
          <t>Developer 3</t>
        </is>
      </c>
      <c r="B38" s="4" t="inlineStr"/>
      <c r="C38" s="19">
        <f>'Headcount'!C12*Assumptions!$D$138/12</f>
        <v/>
      </c>
      <c r="D38" s="19">
        <f>'Headcount'!D12*Assumptions!$D$138/12</f>
        <v/>
      </c>
      <c r="E38" s="19">
        <f>'Headcount'!E12*Assumptions!$D$138/12</f>
        <v/>
      </c>
      <c r="F38" s="19">
        <f>'Headcount'!F12*Assumptions!$D$138/12</f>
        <v/>
      </c>
      <c r="G38" s="19">
        <f>'Headcount'!G12*Assumptions!$D$138/12</f>
        <v/>
      </c>
      <c r="H38" s="19">
        <f>'Headcount'!H12*Assumptions!$D$138/12</f>
        <v/>
      </c>
      <c r="I38" s="19">
        <f>'Headcount'!I12*Assumptions!$D$138/12</f>
        <v/>
      </c>
      <c r="J38" s="19">
        <f>'Headcount'!J12*Assumptions!$D$138/12</f>
        <v/>
      </c>
      <c r="K38" s="19">
        <f>'Headcount'!K12*Assumptions!$D$138/12</f>
        <v/>
      </c>
      <c r="L38" s="19">
        <f>'Headcount'!L12*Assumptions!$D$138/12</f>
        <v/>
      </c>
      <c r="M38" s="19">
        <f>'Headcount'!M12*Assumptions!$D$138/12</f>
        <v/>
      </c>
      <c r="N38" s="19">
        <f>'Headcount'!N12*Assumptions!$D$138/12</f>
        <v/>
      </c>
      <c r="O38" s="19">
        <f>'Headcount'!O12*Assumptions!$D$138/12</f>
        <v/>
      </c>
      <c r="P38" s="19">
        <f>'Headcount'!P12*Assumptions!$D$138/12</f>
        <v/>
      </c>
      <c r="Q38" s="19">
        <f>'Headcount'!Q12*Assumptions!$D$138/12</f>
        <v/>
      </c>
      <c r="R38" s="19">
        <f>'Headcount'!R12*Assumptions!$D$138/12</f>
        <v/>
      </c>
      <c r="S38" s="19">
        <f>'Headcount'!S12*Assumptions!$D$138/12</f>
        <v/>
      </c>
      <c r="T38" s="19">
        <f>'Headcount'!T12*Assumptions!$D$138/12</f>
        <v/>
      </c>
      <c r="U38" s="19">
        <f>'Headcount'!U12*Assumptions!$D$138/12</f>
        <v/>
      </c>
      <c r="V38" s="19">
        <f>'Headcount'!V12*Assumptions!$D$138/12</f>
        <v/>
      </c>
      <c r="W38" s="19">
        <f>'Headcount'!W12*Assumptions!$D$138/12</f>
        <v/>
      </c>
      <c r="X38" s="19">
        <f>'Headcount'!X12*Assumptions!$D$138/12</f>
        <v/>
      </c>
      <c r="Y38" s="19">
        <f>'Headcount'!Y12*Assumptions!$D$138/12</f>
        <v/>
      </c>
      <c r="Z38" s="19">
        <f>'Headcount'!Z12*Assumptions!$D$138/12</f>
        <v/>
      </c>
      <c r="AA38" s="19">
        <f>'Headcount'!AA12*Assumptions!$D$138/12</f>
        <v/>
      </c>
      <c r="AB38" s="19">
        <f>'Headcount'!AB12*Assumptions!$D$138/12</f>
        <v/>
      </c>
      <c r="AC38" s="19">
        <f>'Headcount'!AC12*Assumptions!$D$138/12</f>
        <v/>
      </c>
      <c r="AD38" s="19">
        <f>'Headcount'!AD12*Assumptions!$D$138/12</f>
        <v/>
      </c>
      <c r="AE38" s="19">
        <f>'Headcount'!AE12*Assumptions!$D$138/12</f>
        <v/>
      </c>
      <c r="AF38" s="19">
        <f>'Headcount'!AF12*Assumptions!$D$138/12</f>
        <v/>
      </c>
      <c r="AG38" s="19">
        <f>'Headcount'!AG12*Assumptions!$D$138/12</f>
        <v/>
      </c>
      <c r="AH38" s="19">
        <f>'Headcount'!AH12*Assumptions!$D$138/12</f>
        <v/>
      </c>
      <c r="AI38" s="19">
        <f>'Headcount'!AI12*Assumptions!$D$138/12</f>
        <v/>
      </c>
      <c r="AJ38" s="19">
        <f>'Headcount'!AJ12*Assumptions!$D$138/12</f>
        <v/>
      </c>
      <c r="AK38" s="19">
        <f>'Headcount'!AK12*Assumptions!$D$138/12</f>
        <v/>
      </c>
      <c r="AL38" s="19">
        <f>'Headcount'!AL12*Assumptions!$D$138/12</f>
        <v/>
      </c>
      <c r="AN38" s="19">
        <f>SUMIF($C$5:$AL$5,AN$5,C38:AL38)</f>
        <v/>
      </c>
      <c r="AO38" s="19">
        <f>SUMIF($C$5:$AL$5,AO$5,C38:AL38)</f>
        <v/>
      </c>
      <c r="AP38" s="19">
        <f>SUMIF($C$5:$AL$5,AP$5,C38:AL38)</f>
        <v/>
      </c>
      <c r="AQ38" s="19">
        <f>SUM(C38:AL38)</f>
        <v/>
      </c>
    </row>
    <row r="39">
      <c r="A39" s="22" t="inlineStr">
        <is>
          <t>BD / sales lead</t>
        </is>
      </c>
      <c r="B39" s="4" t="inlineStr"/>
      <c r="C39" s="19">
        <f>'Headcount'!C13*Assumptions!$D$139/12</f>
        <v/>
      </c>
      <c r="D39" s="19">
        <f>'Headcount'!D13*Assumptions!$D$139/12</f>
        <v/>
      </c>
      <c r="E39" s="19">
        <f>'Headcount'!E13*Assumptions!$D$139/12</f>
        <v/>
      </c>
      <c r="F39" s="19">
        <f>'Headcount'!F13*Assumptions!$D$139/12</f>
        <v/>
      </c>
      <c r="G39" s="19">
        <f>'Headcount'!G13*Assumptions!$D$139/12</f>
        <v/>
      </c>
      <c r="H39" s="19">
        <f>'Headcount'!H13*Assumptions!$D$139/12</f>
        <v/>
      </c>
      <c r="I39" s="19">
        <f>'Headcount'!I13*Assumptions!$D$139/12</f>
        <v/>
      </c>
      <c r="J39" s="19">
        <f>'Headcount'!J13*Assumptions!$D$139/12</f>
        <v/>
      </c>
      <c r="K39" s="19">
        <f>'Headcount'!K13*Assumptions!$D$139/12</f>
        <v/>
      </c>
      <c r="L39" s="19">
        <f>'Headcount'!L13*Assumptions!$D$139/12</f>
        <v/>
      </c>
      <c r="M39" s="19">
        <f>'Headcount'!M13*Assumptions!$D$139/12</f>
        <v/>
      </c>
      <c r="N39" s="19">
        <f>'Headcount'!N13*Assumptions!$D$139/12</f>
        <v/>
      </c>
      <c r="O39" s="19">
        <f>'Headcount'!O13*Assumptions!$D$139/12</f>
        <v/>
      </c>
      <c r="P39" s="19">
        <f>'Headcount'!P13*Assumptions!$D$139/12</f>
        <v/>
      </c>
      <c r="Q39" s="19">
        <f>'Headcount'!Q13*Assumptions!$D$139/12</f>
        <v/>
      </c>
      <c r="R39" s="19">
        <f>'Headcount'!R13*Assumptions!$D$139/12</f>
        <v/>
      </c>
      <c r="S39" s="19">
        <f>'Headcount'!S13*Assumptions!$D$139/12</f>
        <v/>
      </c>
      <c r="T39" s="19">
        <f>'Headcount'!T13*Assumptions!$D$139/12</f>
        <v/>
      </c>
      <c r="U39" s="19">
        <f>'Headcount'!U13*Assumptions!$D$139/12</f>
        <v/>
      </c>
      <c r="V39" s="19">
        <f>'Headcount'!V13*Assumptions!$D$139/12</f>
        <v/>
      </c>
      <c r="W39" s="19">
        <f>'Headcount'!W13*Assumptions!$D$139/12</f>
        <v/>
      </c>
      <c r="X39" s="19">
        <f>'Headcount'!X13*Assumptions!$D$139/12</f>
        <v/>
      </c>
      <c r="Y39" s="19">
        <f>'Headcount'!Y13*Assumptions!$D$139/12</f>
        <v/>
      </c>
      <c r="Z39" s="19">
        <f>'Headcount'!Z13*Assumptions!$D$139/12</f>
        <v/>
      </c>
      <c r="AA39" s="19">
        <f>'Headcount'!AA13*Assumptions!$D$139/12</f>
        <v/>
      </c>
      <c r="AB39" s="19">
        <f>'Headcount'!AB13*Assumptions!$D$139/12</f>
        <v/>
      </c>
      <c r="AC39" s="19">
        <f>'Headcount'!AC13*Assumptions!$D$139/12</f>
        <v/>
      </c>
      <c r="AD39" s="19">
        <f>'Headcount'!AD13*Assumptions!$D$139/12</f>
        <v/>
      </c>
      <c r="AE39" s="19">
        <f>'Headcount'!AE13*Assumptions!$D$139/12</f>
        <v/>
      </c>
      <c r="AF39" s="19">
        <f>'Headcount'!AF13*Assumptions!$D$139/12</f>
        <v/>
      </c>
      <c r="AG39" s="19">
        <f>'Headcount'!AG13*Assumptions!$D$139/12</f>
        <v/>
      </c>
      <c r="AH39" s="19">
        <f>'Headcount'!AH13*Assumptions!$D$139/12</f>
        <v/>
      </c>
      <c r="AI39" s="19">
        <f>'Headcount'!AI13*Assumptions!$D$139/12</f>
        <v/>
      </c>
      <c r="AJ39" s="19">
        <f>'Headcount'!AJ13*Assumptions!$D$139/12</f>
        <v/>
      </c>
      <c r="AK39" s="19">
        <f>'Headcount'!AK13*Assumptions!$D$139/12</f>
        <v/>
      </c>
      <c r="AL39" s="19">
        <f>'Headcount'!AL13*Assumptions!$D$139/12</f>
        <v/>
      </c>
      <c r="AN39" s="19">
        <f>SUMIF($C$5:$AL$5,AN$5,C39:AL39)</f>
        <v/>
      </c>
      <c r="AO39" s="19">
        <f>SUMIF($C$5:$AL$5,AO$5,C39:AL39)</f>
        <v/>
      </c>
      <c r="AP39" s="19">
        <f>SUMIF($C$5:$AL$5,AP$5,C39:AL39)</f>
        <v/>
      </c>
      <c r="AQ39" s="19">
        <f>SUM(C39:AL39)</f>
        <v/>
      </c>
    </row>
    <row r="40">
      <c r="A40" s="22" t="inlineStr">
        <is>
          <t>Programme manager (Nigeria)</t>
        </is>
      </c>
      <c r="B40" s="4" t="inlineStr"/>
      <c r="C40" s="19">
        <f>'Headcount'!C14*Assumptions!$D$140/12</f>
        <v/>
      </c>
      <c r="D40" s="19">
        <f>'Headcount'!D14*Assumptions!$D$140/12</f>
        <v/>
      </c>
      <c r="E40" s="19">
        <f>'Headcount'!E14*Assumptions!$D$140/12</f>
        <v/>
      </c>
      <c r="F40" s="19">
        <f>'Headcount'!F14*Assumptions!$D$140/12</f>
        <v/>
      </c>
      <c r="G40" s="19">
        <f>'Headcount'!G14*Assumptions!$D$140/12</f>
        <v/>
      </c>
      <c r="H40" s="19">
        <f>'Headcount'!H14*Assumptions!$D$140/12</f>
        <v/>
      </c>
      <c r="I40" s="19">
        <f>'Headcount'!I14*Assumptions!$D$140/12</f>
        <v/>
      </c>
      <c r="J40" s="19">
        <f>'Headcount'!J14*Assumptions!$D$140/12</f>
        <v/>
      </c>
      <c r="K40" s="19">
        <f>'Headcount'!K14*Assumptions!$D$140/12</f>
        <v/>
      </c>
      <c r="L40" s="19">
        <f>'Headcount'!L14*Assumptions!$D$140/12</f>
        <v/>
      </c>
      <c r="M40" s="19">
        <f>'Headcount'!M14*Assumptions!$D$140/12</f>
        <v/>
      </c>
      <c r="N40" s="19">
        <f>'Headcount'!N14*Assumptions!$D$140/12</f>
        <v/>
      </c>
      <c r="O40" s="19">
        <f>'Headcount'!O14*Assumptions!$D$140/12</f>
        <v/>
      </c>
      <c r="P40" s="19">
        <f>'Headcount'!P14*Assumptions!$D$140/12</f>
        <v/>
      </c>
      <c r="Q40" s="19">
        <f>'Headcount'!Q14*Assumptions!$D$140/12</f>
        <v/>
      </c>
      <c r="R40" s="19">
        <f>'Headcount'!R14*Assumptions!$D$140/12</f>
        <v/>
      </c>
      <c r="S40" s="19">
        <f>'Headcount'!S14*Assumptions!$D$140/12</f>
        <v/>
      </c>
      <c r="T40" s="19">
        <f>'Headcount'!T14*Assumptions!$D$140/12</f>
        <v/>
      </c>
      <c r="U40" s="19">
        <f>'Headcount'!U14*Assumptions!$D$140/12</f>
        <v/>
      </c>
      <c r="V40" s="19">
        <f>'Headcount'!V14*Assumptions!$D$140/12</f>
        <v/>
      </c>
      <c r="W40" s="19">
        <f>'Headcount'!W14*Assumptions!$D$140/12</f>
        <v/>
      </c>
      <c r="X40" s="19">
        <f>'Headcount'!X14*Assumptions!$D$140/12</f>
        <v/>
      </c>
      <c r="Y40" s="19">
        <f>'Headcount'!Y14*Assumptions!$D$140/12</f>
        <v/>
      </c>
      <c r="Z40" s="19">
        <f>'Headcount'!Z14*Assumptions!$D$140/12</f>
        <v/>
      </c>
      <c r="AA40" s="19">
        <f>'Headcount'!AA14*Assumptions!$D$140/12</f>
        <v/>
      </c>
      <c r="AB40" s="19">
        <f>'Headcount'!AB14*Assumptions!$D$140/12</f>
        <v/>
      </c>
      <c r="AC40" s="19">
        <f>'Headcount'!AC14*Assumptions!$D$140/12</f>
        <v/>
      </c>
      <c r="AD40" s="19">
        <f>'Headcount'!AD14*Assumptions!$D$140/12</f>
        <v/>
      </c>
      <c r="AE40" s="19">
        <f>'Headcount'!AE14*Assumptions!$D$140/12</f>
        <v/>
      </c>
      <c r="AF40" s="19">
        <f>'Headcount'!AF14*Assumptions!$D$140/12</f>
        <v/>
      </c>
      <c r="AG40" s="19">
        <f>'Headcount'!AG14*Assumptions!$D$140/12</f>
        <v/>
      </c>
      <c r="AH40" s="19">
        <f>'Headcount'!AH14*Assumptions!$D$140/12</f>
        <v/>
      </c>
      <c r="AI40" s="19">
        <f>'Headcount'!AI14*Assumptions!$D$140/12</f>
        <v/>
      </c>
      <c r="AJ40" s="19">
        <f>'Headcount'!AJ14*Assumptions!$D$140/12</f>
        <v/>
      </c>
      <c r="AK40" s="19">
        <f>'Headcount'!AK14*Assumptions!$D$140/12</f>
        <v/>
      </c>
      <c r="AL40" s="19">
        <f>'Headcount'!AL14*Assumptions!$D$140/12</f>
        <v/>
      </c>
      <c r="AN40" s="19">
        <f>SUMIF($C$5:$AL$5,AN$5,C40:AL40)</f>
        <v/>
      </c>
      <c r="AO40" s="19">
        <f>SUMIF($C$5:$AL$5,AO$5,C40:AL40)</f>
        <v/>
      </c>
      <c r="AP40" s="19">
        <f>SUMIF($C$5:$AL$5,AP$5,C40:AL40)</f>
        <v/>
      </c>
      <c r="AQ40" s="19">
        <f>SUM(C40:AL40)</f>
        <v/>
      </c>
    </row>
    <row r="41">
      <c r="A41" s="22" t="inlineStr">
        <is>
          <t>Clinical lead (midwife/obstetrician)</t>
        </is>
      </c>
      <c r="B41" s="4" t="inlineStr"/>
      <c r="C41" s="19">
        <f>'Headcount'!C15*Assumptions!$D$141/12</f>
        <v/>
      </c>
      <c r="D41" s="19">
        <f>'Headcount'!D15*Assumptions!$D$141/12</f>
        <v/>
      </c>
      <c r="E41" s="19">
        <f>'Headcount'!E15*Assumptions!$D$141/12</f>
        <v/>
      </c>
      <c r="F41" s="19">
        <f>'Headcount'!F15*Assumptions!$D$141/12</f>
        <v/>
      </c>
      <c r="G41" s="19">
        <f>'Headcount'!G15*Assumptions!$D$141/12</f>
        <v/>
      </c>
      <c r="H41" s="19">
        <f>'Headcount'!H15*Assumptions!$D$141/12</f>
        <v/>
      </c>
      <c r="I41" s="19">
        <f>'Headcount'!I15*Assumptions!$D$141/12</f>
        <v/>
      </c>
      <c r="J41" s="19">
        <f>'Headcount'!J15*Assumptions!$D$141/12</f>
        <v/>
      </c>
      <c r="K41" s="19">
        <f>'Headcount'!K15*Assumptions!$D$141/12</f>
        <v/>
      </c>
      <c r="L41" s="19">
        <f>'Headcount'!L15*Assumptions!$D$141/12</f>
        <v/>
      </c>
      <c r="M41" s="19">
        <f>'Headcount'!M15*Assumptions!$D$141/12</f>
        <v/>
      </c>
      <c r="N41" s="19">
        <f>'Headcount'!N15*Assumptions!$D$141/12</f>
        <v/>
      </c>
      <c r="O41" s="19">
        <f>'Headcount'!O15*Assumptions!$D$141/12</f>
        <v/>
      </c>
      <c r="P41" s="19">
        <f>'Headcount'!P15*Assumptions!$D$141/12</f>
        <v/>
      </c>
      <c r="Q41" s="19">
        <f>'Headcount'!Q15*Assumptions!$D$141/12</f>
        <v/>
      </c>
      <c r="R41" s="19">
        <f>'Headcount'!R15*Assumptions!$D$141/12</f>
        <v/>
      </c>
      <c r="S41" s="19">
        <f>'Headcount'!S15*Assumptions!$D$141/12</f>
        <v/>
      </c>
      <c r="T41" s="19">
        <f>'Headcount'!T15*Assumptions!$D$141/12</f>
        <v/>
      </c>
      <c r="U41" s="19">
        <f>'Headcount'!U15*Assumptions!$D$141/12</f>
        <v/>
      </c>
      <c r="V41" s="19">
        <f>'Headcount'!V15*Assumptions!$D$141/12</f>
        <v/>
      </c>
      <c r="W41" s="19">
        <f>'Headcount'!W15*Assumptions!$D$141/12</f>
        <v/>
      </c>
      <c r="X41" s="19">
        <f>'Headcount'!X15*Assumptions!$D$141/12</f>
        <v/>
      </c>
      <c r="Y41" s="19">
        <f>'Headcount'!Y15*Assumptions!$D$141/12</f>
        <v/>
      </c>
      <c r="Z41" s="19">
        <f>'Headcount'!Z15*Assumptions!$D$141/12</f>
        <v/>
      </c>
      <c r="AA41" s="19">
        <f>'Headcount'!AA15*Assumptions!$D$141/12</f>
        <v/>
      </c>
      <c r="AB41" s="19">
        <f>'Headcount'!AB15*Assumptions!$D$141/12</f>
        <v/>
      </c>
      <c r="AC41" s="19">
        <f>'Headcount'!AC15*Assumptions!$D$141/12</f>
        <v/>
      </c>
      <c r="AD41" s="19">
        <f>'Headcount'!AD15*Assumptions!$D$141/12</f>
        <v/>
      </c>
      <c r="AE41" s="19">
        <f>'Headcount'!AE15*Assumptions!$D$141/12</f>
        <v/>
      </c>
      <c r="AF41" s="19">
        <f>'Headcount'!AF15*Assumptions!$D$141/12</f>
        <v/>
      </c>
      <c r="AG41" s="19">
        <f>'Headcount'!AG15*Assumptions!$D$141/12</f>
        <v/>
      </c>
      <c r="AH41" s="19">
        <f>'Headcount'!AH15*Assumptions!$D$141/12</f>
        <v/>
      </c>
      <c r="AI41" s="19">
        <f>'Headcount'!AI15*Assumptions!$D$141/12</f>
        <v/>
      </c>
      <c r="AJ41" s="19">
        <f>'Headcount'!AJ15*Assumptions!$D$141/12</f>
        <v/>
      </c>
      <c r="AK41" s="19">
        <f>'Headcount'!AK15*Assumptions!$D$141/12</f>
        <v/>
      </c>
      <c r="AL41" s="19">
        <f>'Headcount'!AL15*Assumptions!$D$141/12</f>
        <v/>
      </c>
      <c r="AN41" s="19">
        <f>SUMIF($C$5:$AL$5,AN$5,C41:AL41)</f>
        <v/>
      </c>
      <c r="AO41" s="19">
        <f>SUMIF($C$5:$AL$5,AO$5,C41:AL41)</f>
        <v/>
      </c>
      <c r="AP41" s="19">
        <f>SUMIF($C$5:$AL$5,AP$5,C41:AL41)</f>
        <v/>
      </c>
      <c r="AQ41" s="19">
        <f>SUM(C41:AL41)</f>
        <v/>
      </c>
    </row>
    <row r="42">
      <c r="A42" s="22" t="inlineStr">
        <is>
          <t>E-learning content lead</t>
        </is>
      </c>
      <c r="B42" s="4" t="inlineStr"/>
      <c r="C42" s="19">
        <f>'Headcount'!C16*Assumptions!$D$142/12</f>
        <v/>
      </c>
      <c r="D42" s="19">
        <f>'Headcount'!D16*Assumptions!$D$142/12</f>
        <v/>
      </c>
      <c r="E42" s="19">
        <f>'Headcount'!E16*Assumptions!$D$142/12</f>
        <v/>
      </c>
      <c r="F42" s="19">
        <f>'Headcount'!F16*Assumptions!$D$142/12</f>
        <v/>
      </c>
      <c r="G42" s="19">
        <f>'Headcount'!G16*Assumptions!$D$142/12</f>
        <v/>
      </c>
      <c r="H42" s="19">
        <f>'Headcount'!H16*Assumptions!$D$142/12</f>
        <v/>
      </c>
      <c r="I42" s="19">
        <f>'Headcount'!I16*Assumptions!$D$142/12</f>
        <v/>
      </c>
      <c r="J42" s="19">
        <f>'Headcount'!J16*Assumptions!$D$142/12</f>
        <v/>
      </c>
      <c r="K42" s="19">
        <f>'Headcount'!K16*Assumptions!$D$142/12</f>
        <v/>
      </c>
      <c r="L42" s="19">
        <f>'Headcount'!L16*Assumptions!$D$142/12</f>
        <v/>
      </c>
      <c r="M42" s="19">
        <f>'Headcount'!M16*Assumptions!$D$142/12</f>
        <v/>
      </c>
      <c r="N42" s="19">
        <f>'Headcount'!N16*Assumptions!$D$142/12</f>
        <v/>
      </c>
      <c r="O42" s="19">
        <f>'Headcount'!O16*Assumptions!$D$142/12</f>
        <v/>
      </c>
      <c r="P42" s="19">
        <f>'Headcount'!P16*Assumptions!$D$142/12</f>
        <v/>
      </c>
      <c r="Q42" s="19">
        <f>'Headcount'!Q16*Assumptions!$D$142/12</f>
        <v/>
      </c>
      <c r="R42" s="19">
        <f>'Headcount'!R16*Assumptions!$D$142/12</f>
        <v/>
      </c>
      <c r="S42" s="19">
        <f>'Headcount'!S16*Assumptions!$D$142/12</f>
        <v/>
      </c>
      <c r="T42" s="19">
        <f>'Headcount'!T16*Assumptions!$D$142/12</f>
        <v/>
      </c>
      <c r="U42" s="19">
        <f>'Headcount'!U16*Assumptions!$D$142/12</f>
        <v/>
      </c>
      <c r="V42" s="19">
        <f>'Headcount'!V16*Assumptions!$D$142/12</f>
        <v/>
      </c>
      <c r="W42" s="19">
        <f>'Headcount'!W16*Assumptions!$D$142/12</f>
        <v/>
      </c>
      <c r="X42" s="19">
        <f>'Headcount'!X16*Assumptions!$D$142/12</f>
        <v/>
      </c>
      <c r="Y42" s="19">
        <f>'Headcount'!Y16*Assumptions!$D$142/12</f>
        <v/>
      </c>
      <c r="Z42" s="19">
        <f>'Headcount'!Z16*Assumptions!$D$142/12</f>
        <v/>
      </c>
      <c r="AA42" s="19">
        <f>'Headcount'!AA16*Assumptions!$D$142/12</f>
        <v/>
      </c>
      <c r="AB42" s="19">
        <f>'Headcount'!AB16*Assumptions!$D$142/12</f>
        <v/>
      </c>
      <c r="AC42" s="19">
        <f>'Headcount'!AC16*Assumptions!$D$142/12</f>
        <v/>
      </c>
      <c r="AD42" s="19">
        <f>'Headcount'!AD16*Assumptions!$D$142/12</f>
        <v/>
      </c>
      <c r="AE42" s="19">
        <f>'Headcount'!AE16*Assumptions!$D$142/12</f>
        <v/>
      </c>
      <c r="AF42" s="19">
        <f>'Headcount'!AF16*Assumptions!$D$142/12</f>
        <v/>
      </c>
      <c r="AG42" s="19">
        <f>'Headcount'!AG16*Assumptions!$D$142/12</f>
        <v/>
      </c>
      <c r="AH42" s="19">
        <f>'Headcount'!AH16*Assumptions!$D$142/12</f>
        <v/>
      </c>
      <c r="AI42" s="19">
        <f>'Headcount'!AI16*Assumptions!$D$142/12</f>
        <v/>
      </c>
      <c r="AJ42" s="19">
        <f>'Headcount'!AJ16*Assumptions!$D$142/12</f>
        <v/>
      </c>
      <c r="AK42" s="19">
        <f>'Headcount'!AK16*Assumptions!$D$142/12</f>
        <v/>
      </c>
      <c r="AL42" s="19">
        <f>'Headcount'!AL16*Assumptions!$D$142/12</f>
        <v/>
      </c>
      <c r="AN42" s="19">
        <f>SUMIF($C$5:$AL$5,AN$5,C42:AL42)</f>
        <v/>
      </c>
      <c r="AO42" s="19">
        <f>SUMIF($C$5:$AL$5,AO$5,C42:AL42)</f>
        <v/>
      </c>
      <c r="AP42" s="19">
        <f>SUMIF($C$5:$AL$5,AP$5,C42:AL42)</f>
        <v/>
      </c>
      <c r="AQ42" s="19">
        <f>SUM(C42:AL42)</f>
        <v/>
      </c>
    </row>
    <row r="43">
      <c r="A43" s="22" t="inlineStr">
        <is>
          <t>Senior consultant (billable)</t>
        </is>
      </c>
      <c r="B43" s="4" t="inlineStr"/>
      <c r="C43" s="19">
        <f>'Headcount'!C17*Assumptions!$D$143/12</f>
        <v/>
      </c>
      <c r="D43" s="19">
        <f>'Headcount'!D17*Assumptions!$D$143/12</f>
        <v/>
      </c>
      <c r="E43" s="19">
        <f>'Headcount'!E17*Assumptions!$D$143/12</f>
        <v/>
      </c>
      <c r="F43" s="19">
        <f>'Headcount'!F17*Assumptions!$D$143/12</f>
        <v/>
      </c>
      <c r="G43" s="19">
        <f>'Headcount'!G17*Assumptions!$D$143/12</f>
        <v/>
      </c>
      <c r="H43" s="19">
        <f>'Headcount'!H17*Assumptions!$D$143/12</f>
        <v/>
      </c>
      <c r="I43" s="19">
        <f>'Headcount'!I17*Assumptions!$D$143/12</f>
        <v/>
      </c>
      <c r="J43" s="19">
        <f>'Headcount'!J17*Assumptions!$D$143/12</f>
        <v/>
      </c>
      <c r="K43" s="19">
        <f>'Headcount'!K17*Assumptions!$D$143/12</f>
        <v/>
      </c>
      <c r="L43" s="19">
        <f>'Headcount'!L17*Assumptions!$D$143/12</f>
        <v/>
      </c>
      <c r="M43" s="19">
        <f>'Headcount'!M17*Assumptions!$D$143/12</f>
        <v/>
      </c>
      <c r="N43" s="19">
        <f>'Headcount'!N17*Assumptions!$D$143/12</f>
        <v/>
      </c>
      <c r="O43" s="19">
        <f>'Headcount'!O17*Assumptions!$D$143/12</f>
        <v/>
      </c>
      <c r="P43" s="19">
        <f>'Headcount'!P17*Assumptions!$D$143/12</f>
        <v/>
      </c>
      <c r="Q43" s="19">
        <f>'Headcount'!Q17*Assumptions!$D$143/12</f>
        <v/>
      </c>
      <c r="R43" s="19">
        <f>'Headcount'!R17*Assumptions!$D$143/12</f>
        <v/>
      </c>
      <c r="S43" s="19">
        <f>'Headcount'!S17*Assumptions!$D$143/12</f>
        <v/>
      </c>
      <c r="T43" s="19">
        <f>'Headcount'!T17*Assumptions!$D$143/12</f>
        <v/>
      </c>
      <c r="U43" s="19">
        <f>'Headcount'!U17*Assumptions!$D$143/12</f>
        <v/>
      </c>
      <c r="V43" s="19">
        <f>'Headcount'!V17*Assumptions!$D$143/12</f>
        <v/>
      </c>
      <c r="W43" s="19">
        <f>'Headcount'!W17*Assumptions!$D$143/12</f>
        <v/>
      </c>
      <c r="X43" s="19">
        <f>'Headcount'!X17*Assumptions!$D$143/12</f>
        <v/>
      </c>
      <c r="Y43" s="19">
        <f>'Headcount'!Y17*Assumptions!$D$143/12</f>
        <v/>
      </c>
      <c r="Z43" s="19">
        <f>'Headcount'!Z17*Assumptions!$D$143/12</f>
        <v/>
      </c>
      <c r="AA43" s="19">
        <f>'Headcount'!AA17*Assumptions!$D$143/12</f>
        <v/>
      </c>
      <c r="AB43" s="19">
        <f>'Headcount'!AB17*Assumptions!$D$143/12</f>
        <v/>
      </c>
      <c r="AC43" s="19">
        <f>'Headcount'!AC17*Assumptions!$D$143/12</f>
        <v/>
      </c>
      <c r="AD43" s="19">
        <f>'Headcount'!AD17*Assumptions!$D$143/12</f>
        <v/>
      </c>
      <c r="AE43" s="19">
        <f>'Headcount'!AE17*Assumptions!$D$143/12</f>
        <v/>
      </c>
      <c r="AF43" s="19">
        <f>'Headcount'!AF17*Assumptions!$D$143/12</f>
        <v/>
      </c>
      <c r="AG43" s="19">
        <f>'Headcount'!AG17*Assumptions!$D$143/12</f>
        <v/>
      </c>
      <c r="AH43" s="19">
        <f>'Headcount'!AH17*Assumptions!$D$143/12</f>
        <v/>
      </c>
      <c r="AI43" s="19">
        <f>'Headcount'!AI17*Assumptions!$D$143/12</f>
        <v/>
      </c>
      <c r="AJ43" s="19">
        <f>'Headcount'!AJ17*Assumptions!$D$143/12</f>
        <v/>
      </c>
      <c r="AK43" s="19">
        <f>'Headcount'!AK17*Assumptions!$D$143/12</f>
        <v/>
      </c>
      <c r="AL43" s="19">
        <f>'Headcount'!AL17*Assumptions!$D$143/12</f>
        <v/>
      </c>
      <c r="AN43" s="19">
        <f>SUMIF($C$5:$AL$5,AN$5,C43:AL43)</f>
        <v/>
      </c>
      <c r="AO43" s="19">
        <f>SUMIF($C$5:$AL$5,AO$5,C43:AL43)</f>
        <v/>
      </c>
      <c r="AP43" s="19">
        <f>SUMIF($C$5:$AL$5,AP$5,C43:AL43)</f>
        <v/>
      </c>
      <c r="AQ43" s="19">
        <f>SUM(C43:AL43)</f>
        <v/>
      </c>
    </row>
    <row r="44">
      <c r="A44" s="7" t="inlineStr">
        <is>
          <t>Total employer NI (before Employment Allowance)</t>
        </is>
      </c>
      <c r="B44" s="4" t="inlineStr"/>
      <c r="C44" s="26">
        <f>SUM(C34:C43)</f>
        <v/>
      </c>
      <c r="D44" s="26">
        <f>SUM(D34:D43)</f>
        <v/>
      </c>
      <c r="E44" s="26">
        <f>SUM(E34:E43)</f>
        <v/>
      </c>
      <c r="F44" s="26">
        <f>SUM(F34:F43)</f>
        <v/>
      </c>
      <c r="G44" s="26">
        <f>SUM(G34:G43)</f>
        <v/>
      </c>
      <c r="H44" s="26">
        <f>SUM(H34:H43)</f>
        <v/>
      </c>
      <c r="I44" s="26">
        <f>SUM(I34:I43)</f>
        <v/>
      </c>
      <c r="J44" s="26">
        <f>SUM(J34:J43)</f>
        <v/>
      </c>
      <c r="K44" s="26">
        <f>SUM(K34:K43)</f>
        <v/>
      </c>
      <c r="L44" s="26">
        <f>SUM(L34:L43)</f>
        <v/>
      </c>
      <c r="M44" s="26">
        <f>SUM(M34:M43)</f>
        <v/>
      </c>
      <c r="N44" s="26">
        <f>SUM(N34:N43)</f>
        <v/>
      </c>
      <c r="O44" s="26">
        <f>SUM(O34:O43)</f>
        <v/>
      </c>
      <c r="P44" s="26">
        <f>SUM(P34:P43)</f>
        <v/>
      </c>
      <c r="Q44" s="26">
        <f>SUM(Q34:Q43)</f>
        <v/>
      </c>
      <c r="R44" s="26">
        <f>SUM(R34:R43)</f>
        <v/>
      </c>
      <c r="S44" s="26">
        <f>SUM(S34:S43)</f>
        <v/>
      </c>
      <c r="T44" s="26">
        <f>SUM(T34:T43)</f>
        <v/>
      </c>
      <c r="U44" s="26">
        <f>SUM(U34:U43)</f>
        <v/>
      </c>
      <c r="V44" s="26">
        <f>SUM(V34:V43)</f>
        <v/>
      </c>
      <c r="W44" s="26">
        <f>SUM(W34:W43)</f>
        <v/>
      </c>
      <c r="X44" s="26">
        <f>SUM(X34:X43)</f>
        <v/>
      </c>
      <c r="Y44" s="26">
        <f>SUM(Y34:Y43)</f>
        <v/>
      </c>
      <c r="Z44" s="26">
        <f>SUM(Z34:Z43)</f>
        <v/>
      </c>
      <c r="AA44" s="26">
        <f>SUM(AA34:AA43)</f>
        <v/>
      </c>
      <c r="AB44" s="26">
        <f>SUM(AB34:AB43)</f>
        <v/>
      </c>
      <c r="AC44" s="26">
        <f>SUM(AC34:AC43)</f>
        <v/>
      </c>
      <c r="AD44" s="26">
        <f>SUM(AD34:AD43)</f>
        <v/>
      </c>
      <c r="AE44" s="26">
        <f>SUM(AE34:AE43)</f>
        <v/>
      </c>
      <c r="AF44" s="26">
        <f>SUM(AF34:AF43)</f>
        <v/>
      </c>
      <c r="AG44" s="26">
        <f>SUM(AG34:AG43)</f>
        <v/>
      </c>
      <c r="AH44" s="26">
        <f>SUM(AH34:AH43)</f>
        <v/>
      </c>
      <c r="AI44" s="26">
        <f>SUM(AI34:AI43)</f>
        <v/>
      </c>
      <c r="AJ44" s="26">
        <f>SUM(AJ34:AJ43)</f>
        <v/>
      </c>
      <c r="AK44" s="26">
        <f>SUM(AK34:AK43)</f>
        <v/>
      </c>
      <c r="AL44" s="26">
        <f>SUM(AL34:AL43)</f>
        <v/>
      </c>
      <c r="AN44" s="26">
        <f>SUMIF($C$5:$AL$5,AN$5,C44:AL44)</f>
        <v/>
      </c>
      <c r="AO44" s="26">
        <f>SUMIF($C$5:$AL$5,AO$5,C44:AL44)</f>
        <v/>
      </c>
      <c r="AP44" s="26">
        <f>SUMIF($C$5:$AL$5,AP$5,C44:AL44)</f>
        <v/>
      </c>
      <c r="AQ44" s="26">
        <f>SUM(C44:AL44)</f>
        <v/>
      </c>
    </row>
    <row r="46">
      <c r="A46" s="9" t="inlineStr">
        <is>
          <t>EMPLOYER PENSION (monthly)</t>
        </is>
      </c>
      <c r="B46" s="10" t="n"/>
      <c r="C46" s="10" t="n"/>
      <c r="D46" s="10" t="n"/>
      <c r="E46" s="10" t="n"/>
      <c r="F46" s="10" t="n"/>
      <c r="G46" s="10" t="n"/>
      <c r="H46" s="10" t="n"/>
      <c r="I46" s="10" t="n"/>
      <c r="J46" s="10" t="n"/>
      <c r="K46" s="10" t="n"/>
      <c r="L46" s="10" t="n"/>
      <c r="M46" s="10" t="n"/>
      <c r="N46" s="10" t="n"/>
      <c r="O46" s="10" t="n"/>
      <c r="P46" s="10" t="n"/>
      <c r="Q46" s="10" t="n"/>
      <c r="R46" s="10" t="n"/>
      <c r="S46" s="10" t="n"/>
      <c r="T46" s="10" t="n"/>
      <c r="U46" s="10" t="n"/>
      <c r="V46" s="10" t="n"/>
      <c r="W46" s="10" t="n"/>
      <c r="X46" s="10" t="n"/>
      <c r="Y46" s="10" t="n"/>
      <c r="Z46" s="10" t="n"/>
      <c r="AA46" s="10" t="n"/>
      <c r="AB46" s="10" t="n"/>
      <c r="AC46" s="10" t="n"/>
      <c r="AD46" s="10" t="n"/>
      <c r="AE46" s="10" t="n"/>
      <c r="AF46" s="10" t="n"/>
      <c r="AG46" s="10" t="n"/>
      <c r="AH46" s="10" t="n"/>
      <c r="AI46" s="10" t="n"/>
      <c r="AJ46" s="10" t="n"/>
      <c r="AK46" s="10" t="n"/>
      <c r="AL46" s="10" t="n"/>
      <c r="AM46" s="10" t="n"/>
      <c r="AN46" s="10" t="n"/>
      <c r="AO46" s="10" t="n"/>
      <c r="AP46" s="10" t="n"/>
      <c r="AQ46" s="10" t="n"/>
    </row>
    <row r="47">
      <c r="A47" s="22" t="inlineStr">
        <is>
          <t>Founder</t>
        </is>
      </c>
      <c r="B47" s="4" t="inlineStr"/>
      <c r="C47" s="19">
        <f>'Headcount'!C8*Assumptions!$E$134/12</f>
        <v/>
      </c>
      <c r="D47" s="19">
        <f>'Headcount'!D8*Assumptions!$E$134/12</f>
        <v/>
      </c>
      <c r="E47" s="19">
        <f>'Headcount'!E8*Assumptions!$E$134/12</f>
        <v/>
      </c>
      <c r="F47" s="19">
        <f>'Headcount'!F8*Assumptions!$E$134/12</f>
        <v/>
      </c>
      <c r="G47" s="19">
        <f>'Headcount'!G8*Assumptions!$E$134/12</f>
        <v/>
      </c>
      <c r="H47" s="19">
        <f>'Headcount'!H8*Assumptions!$E$134/12</f>
        <v/>
      </c>
      <c r="I47" s="19">
        <f>'Headcount'!I8*Assumptions!$E$134/12</f>
        <v/>
      </c>
      <c r="J47" s="19">
        <f>'Headcount'!J8*Assumptions!$E$134/12</f>
        <v/>
      </c>
      <c r="K47" s="19">
        <f>'Headcount'!K8*Assumptions!$E$134/12</f>
        <v/>
      </c>
      <c r="L47" s="19">
        <f>'Headcount'!L8*Assumptions!$E$134/12</f>
        <v/>
      </c>
      <c r="M47" s="19">
        <f>'Headcount'!M8*Assumptions!$E$134/12</f>
        <v/>
      </c>
      <c r="N47" s="19">
        <f>'Headcount'!N8*Assumptions!$E$134/12</f>
        <v/>
      </c>
      <c r="O47" s="19">
        <f>'Headcount'!O8*Assumptions!$E$134/12</f>
        <v/>
      </c>
      <c r="P47" s="19">
        <f>'Headcount'!P8*Assumptions!$E$134/12</f>
        <v/>
      </c>
      <c r="Q47" s="19">
        <f>'Headcount'!Q8*Assumptions!$E$134/12</f>
        <v/>
      </c>
      <c r="R47" s="19">
        <f>'Headcount'!R8*Assumptions!$E$134/12</f>
        <v/>
      </c>
      <c r="S47" s="19">
        <f>'Headcount'!S8*Assumptions!$E$134/12</f>
        <v/>
      </c>
      <c r="T47" s="19">
        <f>'Headcount'!T8*Assumptions!$E$134/12</f>
        <v/>
      </c>
      <c r="U47" s="19">
        <f>'Headcount'!U8*Assumptions!$E$134/12</f>
        <v/>
      </c>
      <c r="V47" s="19">
        <f>'Headcount'!V8*Assumptions!$E$134/12</f>
        <v/>
      </c>
      <c r="W47" s="19">
        <f>'Headcount'!W8*Assumptions!$E$134/12</f>
        <v/>
      </c>
      <c r="X47" s="19">
        <f>'Headcount'!X8*Assumptions!$E$134/12</f>
        <v/>
      </c>
      <c r="Y47" s="19">
        <f>'Headcount'!Y8*Assumptions!$E$134/12</f>
        <v/>
      </c>
      <c r="Z47" s="19">
        <f>'Headcount'!Z8*Assumptions!$E$134/12</f>
        <v/>
      </c>
      <c r="AA47" s="19">
        <f>'Headcount'!AA8*Assumptions!$E$134/12</f>
        <v/>
      </c>
      <c r="AB47" s="19">
        <f>'Headcount'!AB8*Assumptions!$E$134/12</f>
        <v/>
      </c>
      <c r="AC47" s="19">
        <f>'Headcount'!AC8*Assumptions!$E$134/12</f>
        <v/>
      </c>
      <c r="AD47" s="19">
        <f>'Headcount'!AD8*Assumptions!$E$134/12</f>
        <v/>
      </c>
      <c r="AE47" s="19">
        <f>'Headcount'!AE8*Assumptions!$E$134/12</f>
        <v/>
      </c>
      <c r="AF47" s="19">
        <f>'Headcount'!AF8*Assumptions!$E$134/12</f>
        <v/>
      </c>
      <c r="AG47" s="19">
        <f>'Headcount'!AG8*Assumptions!$E$134/12</f>
        <v/>
      </c>
      <c r="AH47" s="19">
        <f>'Headcount'!AH8*Assumptions!$E$134/12</f>
        <v/>
      </c>
      <c r="AI47" s="19">
        <f>'Headcount'!AI8*Assumptions!$E$134/12</f>
        <v/>
      </c>
      <c r="AJ47" s="19">
        <f>'Headcount'!AJ8*Assumptions!$E$134/12</f>
        <v/>
      </c>
      <c r="AK47" s="19">
        <f>'Headcount'!AK8*Assumptions!$E$134/12</f>
        <v/>
      </c>
      <c r="AL47" s="19">
        <f>'Headcount'!AL8*Assumptions!$E$134/12</f>
        <v/>
      </c>
      <c r="AN47" s="19">
        <f>SUMIF($C$5:$AL$5,AN$5,C47:AL47)</f>
        <v/>
      </c>
      <c r="AO47" s="19">
        <f>SUMIF($C$5:$AL$5,AO$5,C47:AL47)</f>
        <v/>
      </c>
      <c r="AP47" s="19">
        <f>SUMIF($C$5:$AL$5,AP$5,C47:AL47)</f>
        <v/>
      </c>
      <c r="AQ47" s="19">
        <f>SUM(C47:AL47)</f>
        <v/>
      </c>
    </row>
    <row r="48">
      <c r="A48" s="22" t="inlineStr">
        <is>
          <t>Product lead / CTO</t>
        </is>
      </c>
      <c r="B48" s="4" t="inlineStr"/>
      <c r="C48" s="19">
        <f>'Headcount'!C9*Assumptions!$E$135/12</f>
        <v/>
      </c>
      <c r="D48" s="19">
        <f>'Headcount'!D9*Assumptions!$E$135/12</f>
        <v/>
      </c>
      <c r="E48" s="19">
        <f>'Headcount'!E9*Assumptions!$E$135/12</f>
        <v/>
      </c>
      <c r="F48" s="19">
        <f>'Headcount'!F9*Assumptions!$E$135/12</f>
        <v/>
      </c>
      <c r="G48" s="19">
        <f>'Headcount'!G9*Assumptions!$E$135/12</f>
        <v/>
      </c>
      <c r="H48" s="19">
        <f>'Headcount'!H9*Assumptions!$E$135/12</f>
        <v/>
      </c>
      <c r="I48" s="19">
        <f>'Headcount'!I9*Assumptions!$E$135/12</f>
        <v/>
      </c>
      <c r="J48" s="19">
        <f>'Headcount'!J9*Assumptions!$E$135/12</f>
        <v/>
      </c>
      <c r="K48" s="19">
        <f>'Headcount'!K9*Assumptions!$E$135/12</f>
        <v/>
      </c>
      <c r="L48" s="19">
        <f>'Headcount'!L9*Assumptions!$E$135/12</f>
        <v/>
      </c>
      <c r="M48" s="19">
        <f>'Headcount'!M9*Assumptions!$E$135/12</f>
        <v/>
      </c>
      <c r="N48" s="19">
        <f>'Headcount'!N9*Assumptions!$E$135/12</f>
        <v/>
      </c>
      <c r="O48" s="19">
        <f>'Headcount'!O9*Assumptions!$E$135/12</f>
        <v/>
      </c>
      <c r="P48" s="19">
        <f>'Headcount'!P9*Assumptions!$E$135/12</f>
        <v/>
      </c>
      <c r="Q48" s="19">
        <f>'Headcount'!Q9*Assumptions!$E$135/12</f>
        <v/>
      </c>
      <c r="R48" s="19">
        <f>'Headcount'!R9*Assumptions!$E$135/12</f>
        <v/>
      </c>
      <c r="S48" s="19">
        <f>'Headcount'!S9*Assumptions!$E$135/12</f>
        <v/>
      </c>
      <c r="T48" s="19">
        <f>'Headcount'!T9*Assumptions!$E$135/12</f>
        <v/>
      </c>
      <c r="U48" s="19">
        <f>'Headcount'!U9*Assumptions!$E$135/12</f>
        <v/>
      </c>
      <c r="V48" s="19">
        <f>'Headcount'!V9*Assumptions!$E$135/12</f>
        <v/>
      </c>
      <c r="W48" s="19">
        <f>'Headcount'!W9*Assumptions!$E$135/12</f>
        <v/>
      </c>
      <c r="X48" s="19">
        <f>'Headcount'!X9*Assumptions!$E$135/12</f>
        <v/>
      </c>
      <c r="Y48" s="19">
        <f>'Headcount'!Y9*Assumptions!$E$135/12</f>
        <v/>
      </c>
      <c r="Z48" s="19">
        <f>'Headcount'!Z9*Assumptions!$E$135/12</f>
        <v/>
      </c>
      <c r="AA48" s="19">
        <f>'Headcount'!AA9*Assumptions!$E$135/12</f>
        <v/>
      </c>
      <c r="AB48" s="19">
        <f>'Headcount'!AB9*Assumptions!$E$135/12</f>
        <v/>
      </c>
      <c r="AC48" s="19">
        <f>'Headcount'!AC9*Assumptions!$E$135/12</f>
        <v/>
      </c>
      <c r="AD48" s="19">
        <f>'Headcount'!AD9*Assumptions!$E$135/12</f>
        <v/>
      </c>
      <c r="AE48" s="19">
        <f>'Headcount'!AE9*Assumptions!$E$135/12</f>
        <v/>
      </c>
      <c r="AF48" s="19">
        <f>'Headcount'!AF9*Assumptions!$E$135/12</f>
        <v/>
      </c>
      <c r="AG48" s="19">
        <f>'Headcount'!AG9*Assumptions!$E$135/12</f>
        <v/>
      </c>
      <c r="AH48" s="19">
        <f>'Headcount'!AH9*Assumptions!$E$135/12</f>
        <v/>
      </c>
      <c r="AI48" s="19">
        <f>'Headcount'!AI9*Assumptions!$E$135/12</f>
        <v/>
      </c>
      <c r="AJ48" s="19">
        <f>'Headcount'!AJ9*Assumptions!$E$135/12</f>
        <v/>
      </c>
      <c r="AK48" s="19">
        <f>'Headcount'!AK9*Assumptions!$E$135/12</f>
        <v/>
      </c>
      <c r="AL48" s="19">
        <f>'Headcount'!AL9*Assumptions!$E$135/12</f>
        <v/>
      </c>
      <c r="AN48" s="19">
        <f>SUMIF($C$5:$AL$5,AN$5,C48:AL48)</f>
        <v/>
      </c>
      <c r="AO48" s="19">
        <f>SUMIF($C$5:$AL$5,AO$5,C48:AL48)</f>
        <v/>
      </c>
      <c r="AP48" s="19">
        <f>SUMIF($C$5:$AL$5,AP$5,C48:AL48)</f>
        <v/>
      </c>
      <c r="AQ48" s="19">
        <f>SUM(C48:AL48)</f>
        <v/>
      </c>
    </row>
    <row r="49">
      <c r="A49" s="22" t="inlineStr">
        <is>
          <t>Developer 1</t>
        </is>
      </c>
      <c r="B49" s="4" t="inlineStr"/>
      <c r="C49" s="19">
        <f>'Headcount'!C10*Assumptions!$E$136/12</f>
        <v/>
      </c>
      <c r="D49" s="19">
        <f>'Headcount'!D10*Assumptions!$E$136/12</f>
        <v/>
      </c>
      <c r="E49" s="19">
        <f>'Headcount'!E10*Assumptions!$E$136/12</f>
        <v/>
      </c>
      <c r="F49" s="19">
        <f>'Headcount'!F10*Assumptions!$E$136/12</f>
        <v/>
      </c>
      <c r="G49" s="19">
        <f>'Headcount'!G10*Assumptions!$E$136/12</f>
        <v/>
      </c>
      <c r="H49" s="19">
        <f>'Headcount'!H10*Assumptions!$E$136/12</f>
        <v/>
      </c>
      <c r="I49" s="19">
        <f>'Headcount'!I10*Assumptions!$E$136/12</f>
        <v/>
      </c>
      <c r="J49" s="19">
        <f>'Headcount'!J10*Assumptions!$E$136/12</f>
        <v/>
      </c>
      <c r="K49" s="19">
        <f>'Headcount'!K10*Assumptions!$E$136/12</f>
        <v/>
      </c>
      <c r="L49" s="19">
        <f>'Headcount'!L10*Assumptions!$E$136/12</f>
        <v/>
      </c>
      <c r="M49" s="19">
        <f>'Headcount'!M10*Assumptions!$E$136/12</f>
        <v/>
      </c>
      <c r="N49" s="19">
        <f>'Headcount'!N10*Assumptions!$E$136/12</f>
        <v/>
      </c>
      <c r="O49" s="19">
        <f>'Headcount'!O10*Assumptions!$E$136/12</f>
        <v/>
      </c>
      <c r="P49" s="19">
        <f>'Headcount'!P10*Assumptions!$E$136/12</f>
        <v/>
      </c>
      <c r="Q49" s="19">
        <f>'Headcount'!Q10*Assumptions!$E$136/12</f>
        <v/>
      </c>
      <c r="R49" s="19">
        <f>'Headcount'!R10*Assumptions!$E$136/12</f>
        <v/>
      </c>
      <c r="S49" s="19">
        <f>'Headcount'!S10*Assumptions!$E$136/12</f>
        <v/>
      </c>
      <c r="T49" s="19">
        <f>'Headcount'!T10*Assumptions!$E$136/12</f>
        <v/>
      </c>
      <c r="U49" s="19">
        <f>'Headcount'!U10*Assumptions!$E$136/12</f>
        <v/>
      </c>
      <c r="V49" s="19">
        <f>'Headcount'!V10*Assumptions!$E$136/12</f>
        <v/>
      </c>
      <c r="W49" s="19">
        <f>'Headcount'!W10*Assumptions!$E$136/12</f>
        <v/>
      </c>
      <c r="X49" s="19">
        <f>'Headcount'!X10*Assumptions!$E$136/12</f>
        <v/>
      </c>
      <c r="Y49" s="19">
        <f>'Headcount'!Y10*Assumptions!$E$136/12</f>
        <v/>
      </c>
      <c r="Z49" s="19">
        <f>'Headcount'!Z10*Assumptions!$E$136/12</f>
        <v/>
      </c>
      <c r="AA49" s="19">
        <f>'Headcount'!AA10*Assumptions!$E$136/12</f>
        <v/>
      </c>
      <c r="AB49" s="19">
        <f>'Headcount'!AB10*Assumptions!$E$136/12</f>
        <v/>
      </c>
      <c r="AC49" s="19">
        <f>'Headcount'!AC10*Assumptions!$E$136/12</f>
        <v/>
      </c>
      <c r="AD49" s="19">
        <f>'Headcount'!AD10*Assumptions!$E$136/12</f>
        <v/>
      </c>
      <c r="AE49" s="19">
        <f>'Headcount'!AE10*Assumptions!$E$136/12</f>
        <v/>
      </c>
      <c r="AF49" s="19">
        <f>'Headcount'!AF10*Assumptions!$E$136/12</f>
        <v/>
      </c>
      <c r="AG49" s="19">
        <f>'Headcount'!AG10*Assumptions!$E$136/12</f>
        <v/>
      </c>
      <c r="AH49" s="19">
        <f>'Headcount'!AH10*Assumptions!$E$136/12</f>
        <v/>
      </c>
      <c r="AI49" s="19">
        <f>'Headcount'!AI10*Assumptions!$E$136/12</f>
        <v/>
      </c>
      <c r="AJ49" s="19">
        <f>'Headcount'!AJ10*Assumptions!$E$136/12</f>
        <v/>
      </c>
      <c r="AK49" s="19">
        <f>'Headcount'!AK10*Assumptions!$E$136/12</f>
        <v/>
      </c>
      <c r="AL49" s="19">
        <f>'Headcount'!AL10*Assumptions!$E$136/12</f>
        <v/>
      </c>
      <c r="AN49" s="19">
        <f>SUMIF($C$5:$AL$5,AN$5,C49:AL49)</f>
        <v/>
      </c>
      <c r="AO49" s="19">
        <f>SUMIF($C$5:$AL$5,AO$5,C49:AL49)</f>
        <v/>
      </c>
      <c r="AP49" s="19">
        <f>SUMIF($C$5:$AL$5,AP$5,C49:AL49)</f>
        <v/>
      </c>
      <c r="AQ49" s="19">
        <f>SUM(C49:AL49)</f>
        <v/>
      </c>
    </row>
    <row r="50">
      <c r="A50" s="22" t="inlineStr">
        <is>
          <t>Developer 2</t>
        </is>
      </c>
      <c r="B50" s="4" t="inlineStr"/>
      <c r="C50" s="19">
        <f>'Headcount'!C11*Assumptions!$E$137/12</f>
        <v/>
      </c>
      <c r="D50" s="19">
        <f>'Headcount'!D11*Assumptions!$E$137/12</f>
        <v/>
      </c>
      <c r="E50" s="19">
        <f>'Headcount'!E11*Assumptions!$E$137/12</f>
        <v/>
      </c>
      <c r="F50" s="19">
        <f>'Headcount'!F11*Assumptions!$E$137/12</f>
        <v/>
      </c>
      <c r="G50" s="19">
        <f>'Headcount'!G11*Assumptions!$E$137/12</f>
        <v/>
      </c>
      <c r="H50" s="19">
        <f>'Headcount'!H11*Assumptions!$E$137/12</f>
        <v/>
      </c>
      <c r="I50" s="19">
        <f>'Headcount'!I11*Assumptions!$E$137/12</f>
        <v/>
      </c>
      <c r="J50" s="19">
        <f>'Headcount'!J11*Assumptions!$E$137/12</f>
        <v/>
      </c>
      <c r="K50" s="19">
        <f>'Headcount'!K11*Assumptions!$E$137/12</f>
        <v/>
      </c>
      <c r="L50" s="19">
        <f>'Headcount'!L11*Assumptions!$E$137/12</f>
        <v/>
      </c>
      <c r="M50" s="19">
        <f>'Headcount'!M11*Assumptions!$E$137/12</f>
        <v/>
      </c>
      <c r="N50" s="19">
        <f>'Headcount'!N11*Assumptions!$E$137/12</f>
        <v/>
      </c>
      <c r="O50" s="19">
        <f>'Headcount'!O11*Assumptions!$E$137/12</f>
        <v/>
      </c>
      <c r="P50" s="19">
        <f>'Headcount'!P11*Assumptions!$E$137/12</f>
        <v/>
      </c>
      <c r="Q50" s="19">
        <f>'Headcount'!Q11*Assumptions!$E$137/12</f>
        <v/>
      </c>
      <c r="R50" s="19">
        <f>'Headcount'!R11*Assumptions!$E$137/12</f>
        <v/>
      </c>
      <c r="S50" s="19">
        <f>'Headcount'!S11*Assumptions!$E$137/12</f>
        <v/>
      </c>
      <c r="T50" s="19">
        <f>'Headcount'!T11*Assumptions!$E$137/12</f>
        <v/>
      </c>
      <c r="U50" s="19">
        <f>'Headcount'!U11*Assumptions!$E$137/12</f>
        <v/>
      </c>
      <c r="V50" s="19">
        <f>'Headcount'!V11*Assumptions!$E$137/12</f>
        <v/>
      </c>
      <c r="W50" s="19">
        <f>'Headcount'!W11*Assumptions!$E$137/12</f>
        <v/>
      </c>
      <c r="X50" s="19">
        <f>'Headcount'!X11*Assumptions!$E$137/12</f>
        <v/>
      </c>
      <c r="Y50" s="19">
        <f>'Headcount'!Y11*Assumptions!$E$137/12</f>
        <v/>
      </c>
      <c r="Z50" s="19">
        <f>'Headcount'!Z11*Assumptions!$E$137/12</f>
        <v/>
      </c>
      <c r="AA50" s="19">
        <f>'Headcount'!AA11*Assumptions!$E$137/12</f>
        <v/>
      </c>
      <c r="AB50" s="19">
        <f>'Headcount'!AB11*Assumptions!$E$137/12</f>
        <v/>
      </c>
      <c r="AC50" s="19">
        <f>'Headcount'!AC11*Assumptions!$E$137/12</f>
        <v/>
      </c>
      <c r="AD50" s="19">
        <f>'Headcount'!AD11*Assumptions!$E$137/12</f>
        <v/>
      </c>
      <c r="AE50" s="19">
        <f>'Headcount'!AE11*Assumptions!$E$137/12</f>
        <v/>
      </c>
      <c r="AF50" s="19">
        <f>'Headcount'!AF11*Assumptions!$E$137/12</f>
        <v/>
      </c>
      <c r="AG50" s="19">
        <f>'Headcount'!AG11*Assumptions!$E$137/12</f>
        <v/>
      </c>
      <c r="AH50" s="19">
        <f>'Headcount'!AH11*Assumptions!$E$137/12</f>
        <v/>
      </c>
      <c r="AI50" s="19">
        <f>'Headcount'!AI11*Assumptions!$E$137/12</f>
        <v/>
      </c>
      <c r="AJ50" s="19">
        <f>'Headcount'!AJ11*Assumptions!$E$137/12</f>
        <v/>
      </c>
      <c r="AK50" s="19">
        <f>'Headcount'!AK11*Assumptions!$E$137/12</f>
        <v/>
      </c>
      <c r="AL50" s="19">
        <f>'Headcount'!AL11*Assumptions!$E$137/12</f>
        <v/>
      </c>
      <c r="AN50" s="19">
        <f>SUMIF($C$5:$AL$5,AN$5,C50:AL50)</f>
        <v/>
      </c>
      <c r="AO50" s="19">
        <f>SUMIF($C$5:$AL$5,AO$5,C50:AL50)</f>
        <v/>
      </c>
      <c r="AP50" s="19">
        <f>SUMIF($C$5:$AL$5,AP$5,C50:AL50)</f>
        <v/>
      </c>
      <c r="AQ50" s="19">
        <f>SUM(C50:AL50)</f>
        <v/>
      </c>
    </row>
    <row r="51">
      <c r="A51" s="22" t="inlineStr">
        <is>
          <t>Developer 3</t>
        </is>
      </c>
      <c r="B51" s="4" t="inlineStr"/>
      <c r="C51" s="19">
        <f>'Headcount'!C12*Assumptions!$E$138/12</f>
        <v/>
      </c>
      <c r="D51" s="19">
        <f>'Headcount'!D12*Assumptions!$E$138/12</f>
        <v/>
      </c>
      <c r="E51" s="19">
        <f>'Headcount'!E12*Assumptions!$E$138/12</f>
        <v/>
      </c>
      <c r="F51" s="19">
        <f>'Headcount'!F12*Assumptions!$E$138/12</f>
        <v/>
      </c>
      <c r="G51" s="19">
        <f>'Headcount'!G12*Assumptions!$E$138/12</f>
        <v/>
      </c>
      <c r="H51" s="19">
        <f>'Headcount'!H12*Assumptions!$E$138/12</f>
        <v/>
      </c>
      <c r="I51" s="19">
        <f>'Headcount'!I12*Assumptions!$E$138/12</f>
        <v/>
      </c>
      <c r="J51" s="19">
        <f>'Headcount'!J12*Assumptions!$E$138/12</f>
        <v/>
      </c>
      <c r="K51" s="19">
        <f>'Headcount'!K12*Assumptions!$E$138/12</f>
        <v/>
      </c>
      <c r="L51" s="19">
        <f>'Headcount'!L12*Assumptions!$E$138/12</f>
        <v/>
      </c>
      <c r="M51" s="19">
        <f>'Headcount'!M12*Assumptions!$E$138/12</f>
        <v/>
      </c>
      <c r="N51" s="19">
        <f>'Headcount'!N12*Assumptions!$E$138/12</f>
        <v/>
      </c>
      <c r="O51" s="19">
        <f>'Headcount'!O12*Assumptions!$E$138/12</f>
        <v/>
      </c>
      <c r="P51" s="19">
        <f>'Headcount'!P12*Assumptions!$E$138/12</f>
        <v/>
      </c>
      <c r="Q51" s="19">
        <f>'Headcount'!Q12*Assumptions!$E$138/12</f>
        <v/>
      </c>
      <c r="R51" s="19">
        <f>'Headcount'!R12*Assumptions!$E$138/12</f>
        <v/>
      </c>
      <c r="S51" s="19">
        <f>'Headcount'!S12*Assumptions!$E$138/12</f>
        <v/>
      </c>
      <c r="T51" s="19">
        <f>'Headcount'!T12*Assumptions!$E$138/12</f>
        <v/>
      </c>
      <c r="U51" s="19">
        <f>'Headcount'!U12*Assumptions!$E$138/12</f>
        <v/>
      </c>
      <c r="V51" s="19">
        <f>'Headcount'!V12*Assumptions!$E$138/12</f>
        <v/>
      </c>
      <c r="W51" s="19">
        <f>'Headcount'!W12*Assumptions!$E$138/12</f>
        <v/>
      </c>
      <c r="X51" s="19">
        <f>'Headcount'!X12*Assumptions!$E$138/12</f>
        <v/>
      </c>
      <c r="Y51" s="19">
        <f>'Headcount'!Y12*Assumptions!$E$138/12</f>
        <v/>
      </c>
      <c r="Z51" s="19">
        <f>'Headcount'!Z12*Assumptions!$E$138/12</f>
        <v/>
      </c>
      <c r="AA51" s="19">
        <f>'Headcount'!AA12*Assumptions!$E$138/12</f>
        <v/>
      </c>
      <c r="AB51" s="19">
        <f>'Headcount'!AB12*Assumptions!$E$138/12</f>
        <v/>
      </c>
      <c r="AC51" s="19">
        <f>'Headcount'!AC12*Assumptions!$E$138/12</f>
        <v/>
      </c>
      <c r="AD51" s="19">
        <f>'Headcount'!AD12*Assumptions!$E$138/12</f>
        <v/>
      </c>
      <c r="AE51" s="19">
        <f>'Headcount'!AE12*Assumptions!$E$138/12</f>
        <v/>
      </c>
      <c r="AF51" s="19">
        <f>'Headcount'!AF12*Assumptions!$E$138/12</f>
        <v/>
      </c>
      <c r="AG51" s="19">
        <f>'Headcount'!AG12*Assumptions!$E$138/12</f>
        <v/>
      </c>
      <c r="AH51" s="19">
        <f>'Headcount'!AH12*Assumptions!$E$138/12</f>
        <v/>
      </c>
      <c r="AI51" s="19">
        <f>'Headcount'!AI12*Assumptions!$E$138/12</f>
        <v/>
      </c>
      <c r="AJ51" s="19">
        <f>'Headcount'!AJ12*Assumptions!$E$138/12</f>
        <v/>
      </c>
      <c r="AK51" s="19">
        <f>'Headcount'!AK12*Assumptions!$E$138/12</f>
        <v/>
      </c>
      <c r="AL51" s="19">
        <f>'Headcount'!AL12*Assumptions!$E$138/12</f>
        <v/>
      </c>
      <c r="AN51" s="19">
        <f>SUMIF($C$5:$AL$5,AN$5,C51:AL51)</f>
        <v/>
      </c>
      <c r="AO51" s="19">
        <f>SUMIF($C$5:$AL$5,AO$5,C51:AL51)</f>
        <v/>
      </c>
      <c r="AP51" s="19">
        <f>SUMIF($C$5:$AL$5,AP$5,C51:AL51)</f>
        <v/>
      </c>
      <c r="AQ51" s="19">
        <f>SUM(C51:AL51)</f>
        <v/>
      </c>
    </row>
    <row r="52">
      <c r="A52" s="22" t="inlineStr">
        <is>
          <t>BD / sales lead</t>
        </is>
      </c>
      <c r="B52" s="4" t="inlineStr"/>
      <c r="C52" s="19">
        <f>'Headcount'!C13*Assumptions!$E$139/12</f>
        <v/>
      </c>
      <c r="D52" s="19">
        <f>'Headcount'!D13*Assumptions!$E$139/12</f>
        <v/>
      </c>
      <c r="E52" s="19">
        <f>'Headcount'!E13*Assumptions!$E$139/12</f>
        <v/>
      </c>
      <c r="F52" s="19">
        <f>'Headcount'!F13*Assumptions!$E$139/12</f>
        <v/>
      </c>
      <c r="G52" s="19">
        <f>'Headcount'!G13*Assumptions!$E$139/12</f>
        <v/>
      </c>
      <c r="H52" s="19">
        <f>'Headcount'!H13*Assumptions!$E$139/12</f>
        <v/>
      </c>
      <c r="I52" s="19">
        <f>'Headcount'!I13*Assumptions!$E$139/12</f>
        <v/>
      </c>
      <c r="J52" s="19">
        <f>'Headcount'!J13*Assumptions!$E$139/12</f>
        <v/>
      </c>
      <c r="K52" s="19">
        <f>'Headcount'!K13*Assumptions!$E$139/12</f>
        <v/>
      </c>
      <c r="L52" s="19">
        <f>'Headcount'!L13*Assumptions!$E$139/12</f>
        <v/>
      </c>
      <c r="M52" s="19">
        <f>'Headcount'!M13*Assumptions!$E$139/12</f>
        <v/>
      </c>
      <c r="N52" s="19">
        <f>'Headcount'!N13*Assumptions!$E$139/12</f>
        <v/>
      </c>
      <c r="O52" s="19">
        <f>'Headcount'!O13*Assumptions!$E$139/12</f>
        <v/>
      </c>
      <c r="P52" s="19">
        <f>'Headcount'!P13*Assumptions!$E$139/12</f>
        <v/>
      </c>
      <c r="Q52" s="19">
        <f>'Headcount'!Q13*Assumptions!$E$139/12</f>
        <v/>
      </c>
      <c r="R52" s="19">
        <f>'Headcount'!R13*Assumptions!$E$139/12</f>
        <v/>
      </c>
      <c r="S52" s="19">
        <f>'Headcount'!S13*Assumptions!$E$139/12</f>
        <v/>
      </c>
      <c r="T52" s="19">
        <f>'Headcount'!T13*Assumptions!$E$139/12</f>
        <v/>
      </c>
      <c r="U52" s="19">
        <f>'Headcount'!U13*Assumptions!$E$139/12</f>
        <v/>
      </c>
      <c r="V52" s="19">
        <f>'Headcount'!V13*Assumptions!$E$139/12</f>
        <v/>
      </c>
      <c r="W52" s="19">
        <f>'Headcount'!W13*Assumptions!$E$139/12</f>
        <v/>
      </c>
      <c r="X52" s="19">
        <f>'Headcount'!X13*Assumptions!$E$139/12</f>
        <v/>
      </c>
      <c r="Y52" s="19">
        <f>'Headcount'!Y13*Assumptions!$E$139/12</f>
        <v/>
      </c>
      <c r="Z52" s="19">
        <f>'Headcount'!Z13*Assumptions!$E$139/12</f>
        <v/>
      </c>
      <c r="AA52" s="19">
        <f>'Headcount'!AA13*Assumptions!$E$139/12</f>
        <v/>
      </c>
      <c r="AB52" s="19">
        <f>'Headcount'!AB13*Assumptions!$E$139/12</f>
        <v/>
      </c>
      <c r="AC52" s="19">
        <f>'Headcount'!AC13*Assumptions!$E$139/12</f>
        <v/>
      </c>
      <c r="AD52" s="19">
        <f>'Headcount'!AD13*Assumptions!$E$139/12</f>
        <v/>
      </c>
      <c r="AE52" s="19">
        <f>'Headcount'!AE13*Assumptions!$E$139/12</f>
        <v/>
      </c>
      <c r="AF52" s="19">
        <f>'Headcount'!AF13*Assumptions!$E$139/12</f>
        <v/>
      </c>
      <c r="AG52" s="19">
        <f>'Headcount'!AG13*Assumptions!$E$139/12</f>
        <v/>
      </c>
      <c r="AH52" s="19">
        <f>'Headcount'!AH13*Assumptions!$E$139/12</f>
        <v/>
      </c>
      <c r="AI52" s="19">
        <f>'Headcount'!AI13*Assumptions!$E$139/12</f>
        <v/>
      </c>
      <c r="AJ52" s="19">
        <f>'Headcount'!AJ13*Assumptions!$E$139/12</f>
        <v/>
      </c>
      <c r="AK52" s="19">
        <f>'Headcount'!AK13*Assumptions!$E$139/12</f>
        <v/>
      </c>
      <c r="AL52" s="19">
        <f>'Headcount'!AL13*Assumptions!$E$139/12</f>
        <v/>
      </c>
      <c r="AN52" s="19">
        <f>SUMIF($C$5:$AL$5,AN$5,C52:AL52)</f>
        <v/>
      </c>
      <c r="AO52" s="19">
        <f>SUMIF($C$5:$AL$5,AO$5,C52:AL52)</f>
        <v/>
      </c>
      <c r="AP52" s="19">
        <f>SUMIF($C$5:$AL$5,AP$5,C52:AL52)</f>
        <v/>
      </c>
      <c r="AQ52" s="19">
        <f>SUM(C52:AL52)</f>
        <v/>
      </c>
    </row>
    <row r="53">
      <c r="A53" s="22" t="inlineStr">
        <is>
          <t>Programme manager (Nigeria)</t>
        </is>
      </c>
      <c r="B53" s="4" t="inlineStr"/>
      <c r="C53" s="19">
        <f>'Headcount'!C14*Assumptions!$E$140/12</f>
        <v/>
      </c>
      <c r="D53" s="19">
        <f>'Headcount'!D14*Assumptions!$E$140/12</f>
        <v/>
      </c>
      <c r="E53" s="19">
        <f>'Headcount'!E14*Assumptions!$E$140/12</f>
        <v/>
      </c>
      <c r="F53" s="19">
        <f>'Headcount'!F14*Assumptions!$E$140/12</f>
        <v/>
      </c>
      <c r="G53" s="19">
        <f>'Headcount'!G14*Assumptions!$E$140/12</f>
        <v/>
      </c>
      <c r="H53" s="19">
        <f>'Headcount'!H14*Assumptions!$E$140/12</f>
        <v/>
      </c>
      <c r="I53" s="19">
        <f>'Headcount'!I14*Assumptions!$E$140/12</f>
        <v/>
      </c>
      <c r="J53" s="19">
        <f>'Headcount'!J14*Assumptions!$E$140/12</f>
        <v/>
      </c>
      <c r="K53" s="19">
        <f>'Headcount'!K14*Assumptions!$E$140/12</f>
        <v/>
      </c>
      <c r="L53" s="19">
        <f>'Headcount'!L14*Assumptions!$E$140/12</f>
        <v/>
      </c>
      <c r="M53" s="19">
        <f>'Headcount'!M14*Assumptions!$E$140/12</f>
        <v/>
      </c>
      <c r="N53" s="19">
        <f>'Headcount'!N14*Assumptions!$E$140/12</f>
        <v/>
      </c>
      <c r="O53" s="19">
        <f>'Headcount'!O14*Assumptions!$E$140/12</f>
        <v/>
      </c>
      <c r="P53" s="19">
        <f>'Headcount'!P14*Assumptions!$E$140/12</f>
        <v/>
      </c>
      <c r="Q53" s="19">
        <f>'Headcount'!Q14*Assumptions!$E$140/12</f>
        <v/>
      </c>
      <c r="R53" s="19">
        <f>'Headcount'!R14*Assumptions!$E$140/12</f>
        <v/>
      </c>
      <c r="S53" s="19">
        <f>'Headcount'!S14*Assumptions!$E$140/12</f>
        <v/>
      </c>
      <c r="T53" s="19">
        <f>'Headcount'!T14*Assumptions!$E$140/12</f>
        <v/>
      </c>
      <c r="U53" s="19">
        <f>'Headcount'!U14*Assumptions!$E$140/12</f>
        <v/>
      </c>
      <c r="V53" s="19">
        <f>'Headcount'!V14*Assumptions!$E$140/12</f>
        <v/>
      </c>
      <c r="W53" s="19">
        <f>'Headcount'!W14*Assumptions!$E$140/12</f>
        <v/>
      </c>
      <c r="X53" s="19">
        <f>'Headcount'!X14*Assumptions!$E$140/12</f>
        <v/>
      </c>
      <c r="Y53" s="19">
        <f>'Headcount'!Y14*Assumptions!$E$140/12</f>
        <v/>
      </c>
      <c r="Z53" s="19">
        <f>'Headcount'!Z14*Assumptions!$E$140/12</f>
        <v/>
      </c>
      <c r="AA53" s="19">
        <f>'Headcount'!AA14*Assumptions!$E$140/12</f>
        <v/>
      </c>
      <c r="AB53" s="19">
        <f>'Headcount'!AB14*Assumptions!$E$140/12</f>
        <v/>
      </c>
      <c r="AC53" s="19">
        <f>'Headcount'!AC14*Assumptions!$E$140/12</f>
        <v/>
      </c>
      <c r="AD53" s="19">
        <f>'Headcount'!AD14*Assumptions!$E$140/12</f>
        <v/>
      </c>
      <c r="AE53" s="19">
        <f>'Headcount'!AE14*Assumptions!$E$140/12</f>
        <v/>
      </c>
      <c r="AF53" s="19">
        <f>'Headcount'!AF14*Assumptions!$E$140/12</f>
        <v/>
      </c>
      <c r="AG53" s="19">
        <f>'Headcount'!AG14*Assumptions!$E$140/12</f>
        <v/>
      </c>
      <c r="AH53" s="19">
        <f>'Headcount'!AH14*Assumptions!$E$140/12</f>
        <v/>
      </c>
      <c r="AI53" s="19">
        <f>'Headcount'!AI14*Assumptions!$E$140/12</f>
        <v/>
      </c>
      <c r="AJ53" s="19">
        <f>'Headcount'!AJ14*Assumptions!$E$140/12</f>
        <v/>
      </c>
      <c r="AK53" s="19">
        <f>'Headcount'!AK14*Assumptions!$E$140/12</f>
        <v/>
      </c>
      <c r="AL53" s="19">
        <f>'Headcount'!AL14*Assumptions!$E$140/12</f>
        <v/>
      </c>
      <c r="AN53" s="19">
        <f>SUMIF($C$5:$AL$5,AN$5,C53:AL53)</f>
        <v/>
      </c>
      <c r="AO53" s="19">
        <f>SUMIF($C$5:$AL$5,AO$5,C53:AL53)</f>
        <v/>
      </c>
      <c r="AP53" s="19">
        <f>SUMIF($C$5:$AL$5,AP$5,C53:AL53)</f>
        <v/>
      </c>
      <c r="AQ53" s="19">
        <f>SUM(C53:AL53)</f>
        <v/>
      </c>
    </row>
    <row r="54">
      <c r="A54" s="22" t="inlineStr">
        <is>
          <t>Clinical lead (midwife/obstetrician)</t>
        </is>
      </c>
      <c r="B54" s="4" t="inlineStr"/>
      <c r="C54" s="19">
        <f>'Headcount'!C15*Assumptions!$E$141/12</f>
        <v/>
      </c>
      <c r="D54" s="19">
        <f>'Headcount'!D15*Assumptions!$E$141/12</f>
        <v/>
      </c>
      <c r="E54" s="19">
        <f>'Headcount'!E15*Assumptions!$E$141/12</f>
        <v/>
      </c>
      <c r="F54" s="19">
        <f>'Headcount'!F15*Assumptions!$E$141/12</f>
        <v/>
      </c>
      <c r="G54" s="19">
        <f>'Headcount'!G15*Assumptions!$E$141/12</f>
        <v/>
      </c>
      <c r="H54" s="19">
        <f>'Headcount'!H15*Assumptions!$E$141/12</f>
        <v/>
      </c>
      <c r="I54" s="19">
        <f>'Headcount'!I15*Assumptions!$E$141/12</f>
        <v/>
      </c>
      <c r="J54" s="19">
        <f>'Headcount'!J15*Assumptions!$E$141/12</f>
        <v/>
      </c>
      <c r="K54" s="19">
        <f>'Headcount'!K15*Assumptions!$E$141/12</f>
        <v/>
      </c>
      <c r="L54" s="19">
        <f>'Headcount'!L15*Assumptions!$E$141/12</f>
        <v/>
      </c>
      <c r="M54" s="19">
        <f>'Headcount'!M15*Assumptions!$E$141/12</f>
        <v/>
      </c>
      <c r="N54" s="19">
        <f>'Headcount'!N15*Assumptions!$E$141/12</f>
        <v/>
      </c>
      <c r="O54" s="19">
        <f>'Headcount'!O15*Assumptions!$E$141/12</f>
        <v/>
      </c>
      <c r="P54" s="19">
        <f>'Headcount'!P15*Assumptions!$E$141/12</f>
        <v/>
      </c>
      <c r="Q54" s="19">
        <f>'Headcount'!Q15*Assumptions!$E$141/12</f>
        <v/>
      </c>
      <c r="R54" s="19">
        <f>'Headcount'!R15*Assumptions!$E$141/12</f>
        <v/>
      </c>
      <c r="S54" s="19">
        <f>'Headcount'!S15*Assumptions!$E$141/12</f>
        <v/>
      </c>
      <c r="T54" s="19">
        <f>'Headcount'!T15*Assumptions!$E$141/12</f>
        <v/>
      </c>
      <c r="U54" s="19">
        <f>'Headcount'!U15*Assumptions!$E$141/12</f>
        <v/>
      </c>
      <c r="V54" s="19">
        <f>'Headcount'!V15*Assumptions!$E$141/12</f>
        <v/>
      </c>
      <c r="W54" s="19">
        <f>'Headcount'!W15*Assumptions!$E$141/12</f>
        <v/>
      </c>
      <c r="X54" s="19">
        <f>'Headcount'!X15*Assumptions!$E$141/12</f>
        <v/>
      </c>
      <c r="Y54" s="19">
        <f>'Headcount'!Y15*Assumptions!$E$141/12</f>
        <v/>
      </c>
      <c r="Z54" s="19">
        <f>'Headcount'!Z15*Assumptions!$E$141/12</f>
        <v/>
      </c>
      <c r="AA54" s="19">
        <f>'Headcount'!AA15*Assumptions!$E$141/12</f>
        <v/>
      </c>
      <c r="AB54" s="19">
        <f>'Headcount'!AB15*Assumptions!$E$141/12</f>
        <v/>
      </c>
      <c r="AC54" s="19">
        <f>'Headcount'!AC15*Assumptions!$E$141/12</f>
        <v/>
      </c>
      <c r="AD54" s="19">
        <f>'Headcount'!AD15*Assumptions!$E$141/12</f>
        <v/>
      </c>
      <c r="AE54" s="19">
        <f>'Headcount'!AE15*Assumptions!$E$141/12</f>
        <v/>
      </c>
      <c r="AF54" s="19">
        <f>'Headcount'!AF15*Assumptions!$E$141/12</f>
        <v/>
      </c>
      <c r="AG54" s="19">
        <f>'Headcount'!AG15*Assumptions!$E$141/12</f>
        <v/>
      </c>
      <c r="AH54" s="19">
        <f>'Headcount'!AH15*Assumptions!$E$141/12</f>
        <v/>
      </c>
      <c r="AI54" s="19">
        <f>'Headcount'!AI15*Assumptions!$E$141/12</f>
        <v/>
      </c>
      <c r="AJ54" s="19">
        <f>'Headcount'!AJ15*Assumptions!$E$141/12</f>
        <v/>
      </c>
      <c r="AK54" s="19">
        <f>'Headcount'!AK15*Assumptions!$E$141/12</f>
        <v/>
      </c>
      <c r="AL54" s="19">
        <f>'Headcount'!AL15*Assumptions!$E$141/12</f>
        <v/>
      </c>
      <c r="AN54" s="19">
        <f>SUMIF($C$5:$AL$5,AN$5,C54:AL54)</f>
        <v/>
      </c>
      <c r="AO54" s="19">
        <f>SUMIF($C$5:$AL$5,AO$5,C54:AL54)</f>
        <v/>
      </c>
      <c r="AP54" s="19">
        <f>SUMIF($C$5:$AL$5,AP$5,C54:AL54)</f>
        <v/>
      </c>
      <c r="AQ54" s="19">
        <f>SUM(C54:AL54)</f>
        <v/>
      </c>
    </row>
    <row r="55">
      <c r="A55" s="22" t="inlineStr">
        <is>
          <t>E-learning content lead</t>
        </is>
      </c>
      <c r="B55" s="4" t="inlineStr"/>
      <c r="C55" s="19">
        <f>'Headcount'!C16*Assumptions!$E$142/12</f>
        <v/>
      </c>
      <c r="D55" s="19">
        <f>'Headcount'!D16*Assumptions!$E$142/12</f>
        <v/>
      </c>
      <c r="E55" s="19">
        <f>'Headcount'!E16*Assumptions!$E$142/12</f>
        <v/>
      </c>
      <c r="F55" s="19">
        <f>'Headcount'!F16*Assumptions!$E$142/12</f>
        <v/>
      </c>
      <c r="G55" s="19">
        <f>'Headcount'!G16*Assumptions!$E$142/12</f>
        <v/>
      </c>
      <c r="H55" s="19">
        <f>'Headcount'!H16*Assumptions!$E$142/12</f>
        <v/>
      </c>
      <c r="I55" s="19">
        <f>'Headcount'!I16*Assumptions!$E$142/12</f>
        <v/>
      </c>
      <c r="J55" s="19">
        <f>'Headcount'!J16*Assumptions!$E$142/12</f>
        <v/>
      </c>
      <c r="K55" s="19">
        <f>'Headcount'!K16*Assumptions!$E$142/12</f>
        <v/>
      </c>
      <c r="L55" s="19">
        <f>'Headcount'!L16*Assumptions!$E$142/12</f>
        <v/>
      </c>
      <c r="M55" s="19">
        <f>'Headcount'!M16*Assumptions!$E$142/12</f>
        <v/>
      </c>
      <c r="N55" s="19">
        <f>'Headcount'!N16*Assumptions!$E$142/12</f>
        <v/>
      </c>
      <c r="O55" s="19">
        <f>'Headcount'!O16*Assumptions!$E$142/12</f>
        <v/>
      </c>
      <c r="P55" s="19">
        <f>'Headcount'!P16*Assumptions!$E$142/12</f>
        <v/>
      </c>
      <c r="Q55" s="19">
        <f>'Headcount'!Q16*Assumptions!$E$142/12</f>
        <v/>
      </c>
      <c r="R55" s="19">
        <f>'Headcount'!R16*Assumptions!$E$142/12</f>
        <v/>
      </c>
      <c r="S55" s="19">
        <f>'Headcount'!S16*Assumptions!$E$142/12</f>
        <v/>
      </c>
      <c r="T55" s="19">
        <f>'Headcount'!T16*Assumptions!$E$142/12</f>
        <v/>
      </c>
      <c r="U55" s="19">
        <f>'Headcount'!U16*Assumptions!$E$142/12</f>
        <v/>
      </c>
      <c r="V55" s="19">
        <f>'Headcount'!V16*Assumptions!$E$142/12</f>
        <v/>
      </c>
      <c r="W55" s="19">
        <f>'Headcount'!W16*Assumptions!$E$142/12</f>
        <v/>
      </c>
      <c r="X55" s="19">
        <f>'Headcount'!X16*Assumptions!$E$142/12</f>
        <v/>
      </c>
      <c r="Y55" s="19">
        <f>'Headcount'!Y16*Assumptions!$E$142/12</f>
        <v/>
      </c>
      <c r="Z55" s="19">
        <f>'Headcount'!Z16*Assumptions!$E$142/12</f>
        <v/>
      </c>
      <c r="AA55" s="19">
        <f>'Headcount'!AA16*Assumptions!$E$142/12</f>
        <v/>
      </c>
      <c r="AB55" s="19">
        <f>'Headcount'!AB16*Assumptions!$E$142/12</f>
        <v/>
      </c>
      <c r="AC55" s="19">
        <f>'Headcount'!AC16*Assumptions!$E$142/12</f>
        <v/>
      </c>
      <c r="AD55" s="19">
        <f>'Headcount'!AD16*Assumptions!$E$142/12</f>
        <v/>
      </c>
      <c r="AE55" s="19">
        <f>'Headcount'!AE16*Assumptions!$E$142/12</f>
        <v/>
      </c>
      <c r="AF55" s="19">
        <f>'Headcount'!AF16*Assumptions!$E$142/12</f>
        <v/>
      </c>
      <c r="AG55" s="19">
        <f>'Headcount'!AG16*Assumptions!$E$142/12</f>
        <v/>
      </c>
      <c r="AH55" s="19">
        <f>'Headcount'!AH16*Assumptions!$E$142/12</f>
        <v/>
      </c>
      <c r="AI55" s="19">
        <f>'Headcount'!AI16*Assumptions!$E$142/12</f>
        <v/>
      </c>
      <c r="AJ55" s="19">
        <f>'Headcount'!AJ16*Assumptions!$E$142/12</f>
        <v/>
      </c>
      <c r="AK55" s="19">
        <f>'Headcount'!AK16*Assumptions!$E$142/12</f>
        <v/>
      </c>
      <c r="AL55" s="19">
        <f>'Headcount'!AL16*Assumptions!$E$142/12</f>
        <v/>
      </c>
      <c r="AN55" s="19">
        <f>SUMIF($C$5:$AL$5,AN$5,C55:AL55)</f>
        <v/>
      </c>
      <c r="AO55" s="19">
        <f>SUMIF($C$5:$AL$5,AO$5,C55:AL55)</f>
        <v/>
      </c>
      <c r="AP55" s="19">
        <f>SUMIF($C$5:$AL$5,AP$5,C55:AL55)</f>
        <v/>
      </c>
      <c r="AQ55" s="19">
        <f>SUM(C55:AL55)</f>
        <v/>
      </c>
    </row>
    <row r="56">
      <c r="A56" s="22" t="inlineStr">
        <is>
          <t>Senior consultant (billable)</t>
        </is>
      </c>
      <c r="B56" s="4" t="inlineStr"/>
      <c r="C56" s="19">
        <f>'Headcount'!C17*Assumptions!$E$143/12</f>
        <v/>
      </c>
      <c r="D56" s="19">
        <f>'Headcount'!D17*Assumptions!$E$143/12</f>
        <v/>
      </c>
      <c r="E56" s="19">
        <f>'Headcount'!E17*Assumptions!$E$143/12</f>
        <v/>
      </c>
      <c r="F56" s="19">
        <f>'Headcount'!F17*Assumptions!$E$143/12</f>
        <v/>
      </c>
      <c r="G56" s="19">
        <f>'Headcount'!G17*Assumptions!$E$143/12</f>
        <v/>
      </c>
      <c r="H56" s="19">
        <f>'Headcount'!H17*Assumptions!$E$143/12</f>
        <v/>
      </c>
      <c r="I56" s="19">
        <f>'Headcount'!I17*Assumptions!$E$143/12</f>
        <v/>
      </c>
      <c r="J56" s="19">
        <f>'Headcount'!J17*Assumptions!$E$143/12</f>
        <v/>
      </c>
      <c r="K56" s="19">
        <f>'Headcount'!K17*Assumptions!$E$143/12</f>
        <v/>
      </c>
      <c r="L56" s="19">
        <f>'Headcount'!L17*Assumptions!$E$143/12</f>
        <v/>
      </c>
      <c r="M56" s="19">
        <f>'Headcount'!M17*Assumptions!$E$143/12</f>
        <v/>
      </c>
      <c r="N56" s="19">
        <f>'Headcount'!N17*Assumptions!$E$143/12</f>
        <v/>
      </c>
      <c r="O56" s="19">
        <f>'Headcount'!O17*Assumptions!$E$143/12</f>
        <v/>
      </c>
      <c r="P56" s="19">
        <f>'Headcount'!P17*Assumptions!$E$143/12</f>
        <v/>
      </c>
      <c r="Q56" s="19">
        <f>'Headcount'!Q17*Assumptions!$E$143/12</f>
        <v/>
      </c>
      <c r="R56" s="19">
        <f>'Headcount'!R17*Assumptions!$E$143/12</f>
        <v/>
      </c>
      <c r="S56" s="19">
        <f>'Headcount'!S17*Assumptions!$E$143/12</f>
        <v/>
      </c>
      <c r="T56" s="19">
        <f>'Headcount'!T17*Assumptions!$E$143/12</f>
        <v/>
      </c>
      <c r="U56" s="19">
        <f>'Headcount'!U17*Assumptions!$E$143/12</f>
        <v/>
      </c>
      <c r="V56" s="19">
        <f>'Headcount'!V17*Assumptions!$E$143/12</f>
        <v/>
      </c>
      <c r="W56" s="19">
        <f>'Headcount'!W17*Assumptions!$E$143/12</f>
        <v/>
      </c>
      <c r="X56" s="19">
        <f>'Headcount'!X17*Assumptions!$E$143/12</f>
        <v/>
      </c>
      <c r="Y56" s="19">
        <f>'Headcount'!Y17*Assumptions!$E$143/12</f>
        <v/>
      </c>
      <c r="Z56" s="19">
        <f>'Headcount'!Z17*Assumptions!$E$143/12</f>
        <v/>
      </c>
      <c r="AA56" s="19">
        <f>'Headcount'!AA17*Assumptions!$E$143/12</f>
        <v/>
      </c>
      <c r="AB56" s="19">
        <f>'Headcount'!AB17*Assumptions!$E$143/12</f>
        <v/>
      </c>
      <c r="AC56" s="19">
        <f>'Headcount'!AC17*Assumptions!$E$143/12</f>
        <v/>
      </c>
      <c r="AD56" s="19">
        <f>'Headcount'!AD17*Assumptions!$E$143/12</f>
        <v/>
      </c>
      <c r="AE56" s="19">
        <f>'Headcount'!AE17*Assumptions!$E$143/12</f>
        <v/>
      </c>
      <c r="AF56" s="19">
        <f>'Headcount'!AF17*Assumptions!$E$143/12</f>
        <v/>
      </c>
      <c r="AG56" s="19">
        <f>'Headcount'!AG17*Assumptions!$E$143/12</f>
        <v/>
      </c>
      <c r="AH56" s="19">
        <f>'Headcount'!AH17*Assumptions!$E$143/12</f>
        <v/>
      </c>
      <c r="AI56" s="19">
        <f>'Headcount'!AI17*Assumptions!$E$143/12</f>
        <v/>
      </c>
      <c r="AJ56" s="19">
        <f>'Headcount'!AJ17*Assumptions!$E$143/12</f>
        <v/>
      </c>
      <c r="AK56" s="19">
        <f>'Headcount'!AK17*Assumptions!$E$143/12</f>
        <v/>
      </c>
      <c r="AL56" s="19">
        <f>'Headcount'!AL17*Assumptions!$E$143/12</f>
        <v/>
      </c>
      <c r="AN56" s="19">
        <f>SUMIF($C$5:$AL$5,AN$5,C56:AL56)</f>
        <v/>
      </c>
      <c r="AO56" s="19">
        <f>SUMIF($C$5:$AL$5,AO$5,C56:AL56)</f>
        <v/>
      </c>
      <c r="AP56" s="19">
        <f>SUMIF($C$5:$AL$5,AP$5,C56:AL56)</f>
        <v/>
      </c>
      <c r="AQ56" s="19">
        <f>SUM(C56:AL56)</f>
        <v/>
      </c>
    </row>
    <row r="57">
      <c r="A57" s="7" t="inlineStr">
        <is>
          <t>Total employer pension</t>
        </is>
      </c>
      <c r="B57" s="4" t="inlineStr"/>
      <c r="C57" s="26">
        <f>SUM(C47:C56)</f>
        <v/>
      </c>
      <c r="D57" s="26">
        <f>SUM(D47:D56)</f>
        <v/>
      </c>
      <c r="E57" s="26">
        <f>SUM(E47:E56)</f>
        <v/>
      </c>
      <c r="F57" s="26">
        <f>SUM(F47:F56)</f>
        <v/>
      </c>
      <c r="G57" s="26">
        <f>SUM(G47:G56)</f>
        <v/>
      </c>
      <c r="H57" s="26">
        <f>SUM(H47:H56)</f>
        <v/>
      </c>
      <c r="I57" s="26">
        <f>SUM(I47:I56)</f>
        <v/>
      </c>
      <c r="J57" s="26">
        <f>SUM(J47:J56)</f>
        <v/>
      </c>
      <c r="K57" s="26">
        <f>SUM(K47:K56)</f>
        <v/>
      </c>
      <c r="L57" s="26">
        <f>SUM(L47:L56)</f>
        <v/>
      </c>
      <c r="M57" s="26">
        <f>SUM(M47:M56)</f>
        <v/>
      </c>
      <c r="N57" s="26">
        <f>SUM(N47:N56)</f>
        <v/>
      </c>
      <c r="O57" s="26">
        <f>SUM(O47:O56)</f>
        <v/>
      </c>
      <c r="P57" s="26">
        <f>SUM(P47:P56)</f>
        <v/>
      </c>
      <c r="Q57" s="26">
        <f>SUM(Q47:Q56)</f>
        <v/>
      </c>
      <c r="R57" s="26">
        <f>SUM(R47:R56)</f>
        <v/>
      </c>
      <c r="S57" s="26">
        <f>SUM(S47:S56)</f>
        <v/>
      </c>
      <c r="T57" s="26">
        <f>SUM(T47:T56)</f>
        <v/>
      </c>
      <c r="U57" s="26">
        <f>SUM(U47:U56)</f>
        <v/>
      </c>
      <c r="V57" s="26">
        <f>SUM(V47:V56)</f>
        <v/>
      </c>
      <c r="W57" s="26">
        <f>SUM(W47:W56)</f>
        <v/>
      </c>
      <c r="X57" s="26">
        <f>SUM(X47:X56)</f>
        <v/>
      </c>
      <c r="Y57" s="26">
        <f>SUM(Y47:Y56)</f>
        <v/>
      </c>
      <c r="Z57" s="26">
        <f>SUM(Z47:Z56)</f>
        <v/>
      </c>
      <c r="AA57" s="26">
        <f>SUM(AA47:AA56)</f>
        <v/>
      </c>
      <c r="AB57" s="26">
        <f>SUM(AB47:AB56)</f>
        <v/>
      </c>
      <c r="AC57" s="26">
        <f>SUM(AC47:AC56)</f>
        <v/>
      </c>
      <c r="AD57" s="26">
        <f>SUM(AD47:AD56)</f>
        <v/>
      </c>
      <c r="AE57" s="26">
        <f>SUM(AE47:AE56)</f>
        <v/>
      </c>
      <c r="AF57" s="26">
        <f>SUM(AF47:AF56)</f>
        <v/>
      </c>
      <c r="AG57" s="26">
        <f>SUM(AG47:AG56)</f>
        <v/>
      </c>
      <c r="AH57" s="26">
        <f>SUM(AH47:AH56)</f>
        <v/>
      </c>
      <c r="AI57" s="26">
        <f>SUM(AI47:AI56)</f>
        <v/>
      </c>
      <c r="AJ57" s="26">
        <f>SUM(AJ47:AJ56)</f>
        <v/>
      </c>
      <c r="AK57" s="26">
        <f>SUM(AK47:AK56)</f>
        <v/>
      </c>
      <c r="AL57" s="26">
        <f>SUM(AL47:AL56)</f>
        <v/>
      </c>
      <c r="AN57" s="26">
        <f>SUMIF($C$5:$AL$5,AN$5,C57:AL57)</f>
        <v/>
      </c>
      <c r="AO57" s="26">
        <f>SUMIF($C$5:$AL$5,AO$5,C57:AL57)</f>
        <v/>
      </c>
      <c r="AP57" s="26">
        <f>SUMIF($C$5:$AL$5,AP$5,C57:AL57)</f>
        <v/>
      </c>
      <c r="AQ57" s="26">
        <f>SUM(C57:AL57)</f>
        <v/>
      </c>
    </row>
    <row r="59">
      <c r="A59" s="22" t="inlineStr">
        <is>
          <t>Employment Allowance credit (once headcount ≥ 2)</t>
        </is>
      </c>
      <c r="B59" s="4" t="inlineStr"/>
      <c r="C59" s="19">
        <f>-MIN('Headcount'!C44,IF('Headcount'!C18&gt;=2,Assumptions!$F$63/12,0))</f>
        <v/>
      </c>
      <c r="D59" s="19">
        <f>-MIN('Headcount'!D44,IF('Headcount'!D18&gt;=2,Assumptions!$F$63/12,0))</f>
        <v/>
      </c>
      <c r="E59" s="19">
        <f>-MIN('Headcount'!E44,IF('Headcount'!E18&gt;=2,Assumptions!$F$63/12,0))</f>
        <v/>
      </c>
      <c r="F59" s="19">
        <f>-MIN('Headcount'!F44,IF('Headcount'!F18&gt;=2,Assumptions!$F$63/12,0))</f>
        <v/>
      </c>
      <c r="G59" s="19">
        <f>-MIN('Headcount'!G44,IF('Headcount'!G18&gt;=2,Assumptions!$F$63/12,0))</f>
        <v/>
      </c>
      <c r="H59" s="19">
        <f>-MIN('Headcount'!H44,IF('Headcount'!H18&gt;=2,Assumptions!$F$63/12,0))</f>
        <v/>
      </c>
      <c r="I59" s="19">
        <f>-MIN('Headcount'!I44,IF('Headcount'!I18&gt;=2,Assumptions!$F$63/12,0))</f>
        <v/>
      </c>
      <c r="J59" s="19">
        <f>-MIN('Headcount'!J44,IF('Headcount'!J18&gt;=2,Assumptions!$F$63/12,0))</f>
        <v/>
      </c>
      <c r="K59" s="19">
        <f>-MIN('Headcount'!K44,IF('Headcount'!K18&gt;=2,Assumptions!$F$63/12,0))</f>
        <v/>
      </c>
      <c r="L59" s="19">
        <f>-MIN('Headcount'!L44,IF('Headcount'!L18&gt;=2,Assumptions!$F$63/12,0))</f>
        <v/>
      </c>
      <c r="M59" s="19">
        <f>-MIN('Headcount'!M44,IF('Headcount'!M18&gt;=2,Assumptions!$F$63/12,0))</f>
        <v/>
      </c>
      <c r="N59" s="19">
        <f>-MIN('Headcount'!N44,IF('Headcount'!N18&gt;=2,Assumptions!$F$63/12,0))</f>
        <v/>
      </c>
      <c r="O59" s="19">
        <f>-MIN('Headcount'!O44,IF('Headcount'!O18&gt;=2,Assumptions!$F$63/12,0))</f>
        <v/>
      </c>
      <c r="P59" s="19">
        <f>-MIN('Headcount'!P44,IF('Headcount'!P18&gt;=2,Assumptions!$F$63/12,0))</f>
        <v/>
      </c>
      <c r="Q59" s="19">
        <f>-MIN('Headcount'!Q44,IF('Headcount'!Q18&gt;=2,Assumptions!$F$63/12,0))</f>
        <v/>
      </c>
      <c r="R59" s="19">
        <f>-MIN('Headcount'!R44,IF('Headcount'!R18&gt;=2,Assumptions!$F$63/12,0))</f>
        <v/>
      </c>
      <c r="S59" s="19">
        <f>-MIN('Headcount'!S44,IF('Headcount'!S18&gt;=2,Assumptions!$F$63/12,0))</f>
        <v/>
      </c>
      <c r="T59" s="19">
        <f>-MIN('Headcount'!T44,IF('Headcount'!T18&gt;=2,Assumptions!$F$63/12,0))</f>
        <v/>
      </c>
      <c r="U59" s="19">
        <f>-MIN('Headcount'!U44,IF('Headcount'!U18&gt;=2,Assumptions!$F$63/12,0))</f>
        <v/>
      </c>
      <c r="V59" s="19">
        <f>-MIN('Headcount'!V44,IF('Headcount'!V18&gt;=2,Assumptions!$F$63/12,0))</f>
        <v/>
      </c>
      <c r="W59" s="19">
        <f>-MIN('Headcount'!W44,IF('Headcount'!W18&gt;=2,Assumptions!$F$63/12,0))</f>
        <v/>
      </c>
      <c r="X59" s="19">
        <f>-MIN('Headcount'!X44,IF('Headcount'!X18&gt;=2,Assumptions!$F$63/12,0))</f>
        <v/>
      </c>
      <c r="Y59" s="19">
        <f>-MIN('Headcount'!Y44,IF('Headcount'!Y18&gt;=2,Assumptions!$F$63/12,0))</f>
        <v/>
      </c>
      <c r="Z59" s="19">
        <f>-MIN('Headcount'!Z44,IF('Headcount'!Z18&gt;=2,Assumptions!$F$63/12,0))</f>
        <v/>
      </c>
      <c r="AA59" s="19">
        <f>-MIN('Headcount'!AA44,IF('Headcount'!AA18&gt;=2,Assumptions!$F$63/12,0))</f>
        <v/>
      </c>
      <c r="AB59" s="19">
        <f>-MIN('Headcount'!AB44,IF('Headcount'!AB18&gt;=2,Assumptions!$F$63/12,0))</f>
        <v/>
      </c>
      <c r="AC59" s="19">
        <f>-MIN('Headcount'!AC44,IF('Headcount'!AC18&gt;=2,Assumptions!$F$63/12,0))</f>
        <v/>
      </c>
      <c r="AD59" s="19">
        <f>-MIN('Headcount'!AD44,IF('Headcount'!AD18&gt;=2,Assumptions!$F$63/12,0))</f>
        <v/>
      </c>
      <c r="AE59" s="19">
        <f>-MIN('Headcount'!AE44,IF('Headcount'!AE18&gt;=2,Assumptions!$F$63/12,0))</f>
        <v/>
      </c>
      <c r="AF59" s="19">
        <f>-MIN('Headcount'!AF44,IF('Headcount'!AF18&gt;=2,Assumptions!$F$63/12,0))</f>
        <v/>
      </c>
      <c r="AG59" s="19">
        <f>-MIN('Headcount'!AG44,IF('Headcount'!AG18&gt;=2,Assumptions!$F$63/12,0))</f>
        <v/>
      </c>
      <c r="AH59" s="19">
        <f>-MIN('Headcount'!AH44,IF('Headcount'!AH18&gt;=2,Assumptions!$F$63/12,0))</f>
        <v/>
      </c>
      <c r="AI59" s="19">
        <f>-MIN('Headcount'!AI44,IF('Headcount'!AI18&gt;=2,Assumptions!$F$63/12,0))</f>
        <v/>
      </c>
      <c r="AJ59" s="19">
        <f>-MIN('Headcount'!AJ44,IF('Headcount'!AJ18&gt;=2,Assumptions!$F$63/12,0))</f>
        <v/>
      </c>
      <c r="AK59" s="19">
        <f>-MIN('Headcount'!AK44,IF('Headcount'!AK18&gt;=2,Assumptions!$F$63/12,0))</f>
        <v/>
      </c>
      <c r="AL59" s="19">
        <f>-MIN('Headcount'!AL44,IF('Headcount'!AL18&gt;=2,Assumptions!$F$63/12,0))</f>
        <v/>
      </c>
      <c r="AN59" s="19">
        <f>SUMIF($C$5:$AL$5,AN$5,C59:AL59)</f>
        <v/>
      </c>
      <c r="AO59" s="19">
        <f>SUMIF($C$5:$AL$5,AO$5,C59:AL59)</f>
        <v/>
      </c>
      <c r="AP59" s="19">
        <f>SUMIF($C$5:$AL$5,AP$5,C59:AL59)</f>
        <v/>
      </c>
      <c r="AQ59" s="19">
        <f>SUM(C59:AL59)</f>
        <v/>
      </c>
    </row>
    <row r="60">
      <c r="A60" s="7" t="inlineStr">
        <is>
          <t>TOTAL EMPLOYMENT COST</t>
        </is>
      </c>
      <c r="B60" s="4" t="inlineStr"/>
      <c r="C60" s="26">
        <f>'Headcount'!C31+'Headcount'!C44+'Headcount'!C57+'Headcount'!C59</f>
        <v/>
      </c>
      <c r="D60" s="26">
        <f>'Headcount'!D31+'Headcount'!D44+'Headcount'!D57+'Headcount'!D59</f>
        <v/>
      </c>
      <c r="E60" s="26">
        <f>'Headcount'!E31+'Headcount'!E44+'Headcount'!E57+'Headcount'!E59</f>
        <v/>
      </c>
      <c r="F60" s="26">
        <f>'Headcount'!F31+'Headcount'!F44+'Headcount'!F57+'Headcount'!F59</f>
        <v/>
      </c>
      <c r="G60" s="26">
        <f>'Headcount'!G31+'Headcount'!G44+'Headcount'!G57+'Headcount'!G59</f>
        <v/>
      </c>
      <c r="H60" s="26">
        <f>'Headcount'!H31+'Headcount'!H44+'Headcount'!H57+'Headcount'!H59</f>
        <v/>
      </c>
      <c r="I60" s="26">
        <f>'Headcount'!I31+'Headcount'!I44+'Headcount'!I57+'Headcount'!I59</f>
        <v/>
      </c>
      <c r="J60" s="26">
        <f>'Headcount'!J31+'Headcount'!J44+'Headcount'!J57+'Headcount'!J59</f>
        <v/>
      </c>
      <c r="K60" s="26">
        <f>'Headcount'!K31+'Headcount'!K44+'Headcount'!K57+'Headcount'!K59</f>
        <v/>
      </c>
      <c r="L60" s="26">
        <f>'Headcount'!L31+'Headcount'!L44+'Headcount'!L57+'Headcount'!L59</f>
        <v/>
      </c>
      <c r="M60" s="26">
        <f>'Headcount'!M31+'Headcount'!M44+'Headcount'!M57+'Headcount'!M59</f>
        <v/>
      </c>
      <c r="N60" s="26">
        <f>'Headcount'!N31+'Headcount'!N44+'Headcount'!N57+'Headcount'!N59</f>
        <v/>
      </c>
      <c r="O60" s="26">
        <f>'Headcount'!O31+'Headcount'!O44+'Headcount'!O57+'Headcount'!O59</f>
        <v/>
      </c>
      <c r="P60" s="26">
        <f>'Headcount'!P31+'Headcount'!P44+'Headcount'!P57+'Headcount'!P59</f>
        <v/>
      </c>
      <c r="Q60" s="26">
        <f>'Headcount'!Q31+'Headcount'!Q44+'Headcount'!Q57+'Headcount'!Q59</f>
        <v/>
      </c>
      <c r="R60" s="26">
        <f>'Headcount'!R31+'Headcount'!R44+'Headcount'!R57+'Headcount'!R59</f>
        <v/>
      </c>
      <c r="S60" s="26">
        <f>'Headcount'!S31+'Headcount'!S44+'Headcount'!S57+'Headcount'!S59</f>
        <v/>
      </c>
      <c r="T60" s="26">
        <f>'Headcount'!T31+'Headcount'!T44+'Headcount'!T57+'Headcount'!T59</f>
        <v/>
      </c>
      <c r="U60" s="26">
        <f>'Headcount'!U31+'Headcount'!U44+'Headcount'!U57+'Headcount'!U59</f>
        <v/>
      </c>
      <c r="V60" s="26">
        <f>'Headcount'!V31+'Headcount'!V44+'Headcount'!V57+'Headcount'!V59</f>
        <v/>
      </c>
      <c r="W60" s="26">
        <f>'Headcount'!W31+'Headcount'!W44+'Headcount'!W57+'Headcount'!W59</f>
        <v/>
      </c>
      <c r="X60" s="26">
        <f>'Headcount'!X31+'Headcount'!X44+'Headcount'!X57+'Headcount'!X59</f>
        <v/>
      </c>
      <c r="Y60" s="26">
        <f>'Headcount'!Y31+'Headcount'!Y44+'Headcount'!Y57+'Headcount'!Y59</f>
        <v/>
      </c>
      <c r="Z60" s="26">
        <f>'Headcount'!Z31+'Headcount'!Z44+'Headcount'!Z57+'Headcount'!Z59</f>
        <v/>
      </c>
      <c r="AA60" s="26">
        <f>'Headcount'!AA31+'Headcount'!AA44+'Headcount'!AA57+'Headcount'!AA59</f>
        <v/>
      </c>
      <c r="AB60" s="26">
        <f>'Headcount'!AB31+'Headcount'!AB44+'Headcount'!AB57+'Headcount'!AB59</f>
        <v/>
      </c>
      <c r="AC60" s="26">
        <f>'Headcount'!AC31+'Headcount'!AC44+'Headcount'!AC57+'Headcount'!AC59</f>
        <v/>
      </c>
      <c r="AD60" s="26">
        <f>'Headcount'!AD31+'Headcount'!AD44+'Headcount'!AD57+'Headcount'!AD59</f>
        <v/>
      </c>
      <c r="AE60" s="26">
        <f>'Headcount'!AE31+'Headcount'!AE44+'Headcount'!AE57+'Headcount'!AE59</f>
        <v/>
      </c>
      <c r="AF60" s="26">
        <f>'Headcount'!AF31+'Headcount'!AF44+'Headcount'!AF57+'Headcount'!AF59</f>
        <v/>
      </c>
      <c r="AG60" s="26">
        <f>'Headcount'!AG31+'Headcount'!AG44+'Headcount'!AG57+'Headcount'!AG59</f>
        <v/>
      </c>
      <c r="AH60" s="26">
        <f>'Headcount'!AH31+'Headcount'!AH44+'Headcount'!AH57+'Headcount'!AH59</f>
        <v/>
      </c>
      <c r="AI60" s="26">
        <f>'Headcount'!AI31+'Headcount'!AI44+'Headcount'!AI57+'Headcount'!AI59</f>
        <v/>
      </c>
      <c r="AJ60" s="26">
        <f>'Headcount'!AJ31+'Headcount'!AJ44+'Headcount'!AJ57+'Headcount'!AJ59</f>
        <v/>
      </c>
      <c r="AK60" s="26">
        <f>'Headcount'!AK31+'Headcount'!AK44+'Headcount'!AK57+'Headcount'!AK59</f>
        <v/>
      </c>
      <c r="AL60" s="26">
        <f>'Headcount'!AL31+'Headcount'!AL44+'Headcount'!AL57+'Headcount'!AL59</f>
        <v/>
      </c>
      <c r="AN60" s="26">
        <f>SUMIF($C$5:$AL$5,AN$5,C60:AL60)</f>
        <v/>
      </c>
      <c r="AO60" s="26">
        <f>SUMIF($C$5:$AL$5,AO$5,C60:AL60)</f>
        <v/>
      </c>
      <c r="AP60" s="26">
        <f>SUMIF($C$5:$AL$5,AP$5,C60:AL60)</f>
        <v/>
      </c>
      <c r="AQ60" s="26">
        <f>SUM(C60:AL60)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Q40"/>
  <sheetViews>
    <sheetView workbookViewId="0">
      <pane xSplit="2" ySplit="6" topLeftCell="C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2" customWidth="1" min="1" max="1"/>
    <col width="14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3" customWidth="1" min="40" max="40"/>
    <col width="13" customWidth="1" min="41" max="41"/>
    <col width="13" customWidth="1" min="42" max="42"/>
    <col width="13" customWidth="1" min="43" max="43"/>
  </cols>
  <sheetData>
    <row r="1">
      <c r="A1" s="38" t="inlineStr">
        <is>
          <t>Profit and loss — monthly (columns C:AL) and annual (columns AN:AQ)</t>
        </is>
      </c>
    </row>
    <row r="2">
      <c r="A2" s="4">
        <f>"Scenario: "&amp;Assumptions!$D$4&amp;"  —  all figures GBP, scenario values, not actuals"</f>
        <v/>
      </c>
    </row>
    <row r="3">
      <c r="A3" s="20" t="inlineStr">
        <is>
          <t>Month #</t>
        </is>
      </c>
      <c r="B3" s="10" t="n"/>
      <c r="C3" s="20" t="n">
        <v>1</v>
      </c>
      <c r="D3" s="20" t="n">
        <v>2</v>
      </c>
      <c r="E3" s="20" t="n">
        <v>3</v>
      </c>
      <c r="F3" s="20" t="n">
        <v>4</v>
      </c>
      <c r="G3" s="20" t="n">
        <v>5</v>
      </c>
      <c r="H3" s="20" t="n">
        <v>6</v>
      </c>
      <c r="I3" s="20" t="n">
        <v>7</v>
      </c>
      <c r="J3" s="20" t="n">
        <v>8</v>
      </c>
      <c r="K3" s="20" t="n">
        <v>9</v>
      </c>
      <c r="L3" s="20" t="n">
        <v>10</v>
      </c>
      <c r="M3" s="20" t="n">
        <v>11</v>
      </c>
      <c r="N3" s="20" t="n">
        <v>12</v>
      </c>
      <c r="O3" s="20" t="n">
        <v>13</v>
      </c>
      <c r="P3" s="20" t="n">
        <v>14</v>
      </c>
      <c r="Q3" s="20" t="n">
        <v>15</v>
      </c>
      <c r="R3" s="20" t="n">
        <v>16</v>
      </c>
      <c r="S3" s="20" t="n">
        <v>17</v>
      </c>
      <c r="T3" s="20" t="n">
        <v>18</v>
      </c>
      <c r="U3" s="20" t="n">
        <v>19</v>
      </c>
      <c r="V3" s="20" t="n">
        <v>20</v>
      </c>
      <c r="W3" s="20" t="n">
        <v>21</v>
      </c>
      <c r="X3" s="20" t="n">
        <v>22</v>
      </c>
      <c r="Y3" s="20" t="n">
        <v>23</v>
      </c>
      <c r="Z3" s="20" t="n">
        <v>24</v>
      </c>
      <c r="AA3" s="20" t="n">
        <v>25</v>
      </c>
      <c r="AB3" s="20" t="n">
        <v>26</v>
      </c>
      <c r="AC3" s="20" t="n">
        <v>27</v>
      </c>
      <c r="AD3" s="20" t="n">
        <v>28</v>
      </c>
      <c r="AE3" s="20" t="n">
        <v>29</v>
      </c>
      <c r="AF3" s="20" t="n">
        <v>30</v>
      </c>
      <c r="AG3" s="20" t="n">
        <v>31</v>
      </c>
      <c r="AH3" s="20" t="n">
        <v>32</v>
      </c>
      <c r="AI3" s="20" t="n">
        <v>33</v>
      </c>
      <c r="AJ3" s="20" t="n">
        <v>34</v>
      </c>
      <c r="AK3" s="20" t="n">
        <v>35</v>
      </c>
      <c r="AL3" s="20" t="n">
        <v>36</v>
      </c>
      <c r="AM3" s="10" t="n"/>
      <c r="AN3" s="10" t="n"/>
      <c r="AO3" s="10" t="n"/>
      <c r="AP3" s="10" t="n"/>
      <c r="AQ3" s="10" t="n"/>
    </row>
    <row r="4">
      <c r="A4" s="20" t="inlineStr">
        <is>
          <t>Month</t>
        </is>
      </c>
      <c r="B4" s="10" t="n"/>
      <c r="C4" s="21" t="n">
        <v>46388</v>
      </c>
      <c r="D4" s="21" t="n">
        <v>46419</v>
      </c>
      <c r="E4" s="21" t="n">
        <v>46447</v>
      </c>
      <c r="F4" s="21" t="n">
        <v>46478</v>
      </c>
      <c r="G4" s="21" t="n">
        <v>46508</v>
      </c>
      <c r="H4" s="21" t="n">
        <v>46539</v>
      </c>
      <c r="I4" s="21" t="n">
        <v>46569</v>
      </c>
      <c r="J4" s="21" t="n">
        <v>46600</v>
      </c>
      <c r="K4" s="21" t="n">
        <v>46631</v>
      </c>
      <c r="L4" s="21" t="n">
        <v>46661</v>
      </c>
      <c r="M4" s="21" t="n">
        <v>46692</v>
      </c>
      <c r="N4" s="21" t="n">
        <v>46722</v>
      </c>
      <c r="O4" s="21" t="n">
        <v>46753</v>
      </c>
      <c r="P4" s="21" t="n">
        <v>46784</v>
      </c>
      <c r="Q4" s="21" t="n">
        <v>46813</v>
      </c>
      <c r="R4" s="21" t="n">
        <v>46844</v>
      </c>
      <c r="S4" s="21" t="n">
        <v>46874</v>
      </c>
      <c r="T4" s="21" t="n">
        <v>46905</v>
      </c>
      <c r="U4" s="21" t="n">
        <v>46935</v>
      </c>
      <c r="V4" s="21" t="n">
        <v>46966</v>
      </c>
      <c r="W4" s="21" t="n">
        <v>46997</v>
      </c>
      <c r="X4" s="21" t="n">
        <v>47027</v>
      </c>
      <c r="Y4" s="21" t="n">
        <v>47058</v>
      </c>
      <c r="Z4" s="21" t="n">
        <v>47088</v>
      </c>
      <c r="AA4" s="21" t="n">
        <v>47119</v>
      </c>
      <c r="AB4" s="21" t="n">
        <v>47150</v>
      </c>
      <c r="AC4" s="21" t="n">
        <v>47178</v>
      </c>
      <c r="AD4" s="21" t="n">
        <v>47209</v>
      </c>
      <c r="AE4" s="21" t="n">
        <v>47239</v>
      </c>
      <c r="AF4" s="21" t="n">
        <v>47270</v>
      </c>
      <c r="AG4" s="21" t="n">
        <v>47300</v>
      </c>
      <c r="AH4" s="21" t="n">
        <v>47331</v>
      </c>
      <c r="AI4" s="21" t="n">
        <v>47362</v>
      </c>
      <c r="AJ4" s="21" t="n">
        <v>47392</v>
      </c>
      <c r="AK4" s="21" t="n">
        <v>47423</v>
      </c>
      <c r="AL4" s="21" t="n">
        <v>47453</v>
      </c>
      <c r="AM4" s="10" t="n"/>
      <c r="AN4" s="20" t="inlineStr">
        <is>
          <t>FY2027</t>
        </is>
      </c>
      <c r="AO4" s="20" t="inlineStr">
        <is>
          <t>FY2028</t>
        </is>
      </c>
      <c r="AP4" s="20" t="inlineStr">
        <is>
          <t>FY2029</t>
        </is>
      </c>
      <c r="AQ4" s="20" t="inlineStr">
        <is>
          <t>3-year total</t>
        </is>
      </c>
    </row>
    <row r="5">
      <c r="A5" s="20" t="inlineStr">
        <is>
          <t>Year</t>
        </is>
      </c>
      <c r="B5" s="10" t="n"/>
      <c r="C5" s="20" t="n">
        <v>2027</v>
      </c>
      <c r="D5" s="20" t="n">
        <v>2027</v>
      </c>
      <c r="E5" s="20" t="n">
        <v>2027</v>
      </c>
      <c r="F5" s="20" t="n">
        <v>2027</v>
      </c>
      <c r="G5" s="20" t="n">
        <v>2027</v>
      </c>
      <c r="H5" s="20" t="n">
        <v>2027</v>
      </c>
      <c r="I5" s="20" t="n">
        <v>2027</v>
      </c>
      <c r="J5" s="20" t="n">
        <v>2027</v>
      </c>
      <c r="K5" s="20" t="n">
        <v>2027</v>
      </c>
      <c r="L5" s="20" t="n">
        <v>2027</v>
      </c>
      <c r="M5" s="20" t="n">
        <v>2027</v>
      </c>
      <c r="N5" s="20" t="n">
        <v>2027</v>
      </c>
      <c r="O5" s="20" t="n">
        <v>2028</v>
      </c>
      <c r="P5" s="20" t="n">
        <v>2028</v>
      </c>
      <c r="Q5" s="20" t="n">
        <v>2028</v>
      </c>
      <c r="R5" s="20" t="n">
        <v>2028</v>
      </c>
      <c r="S5" s="20" t="n">
        <v>2028</v>
      </c>
      <c r="T5" s="20" t="n">
        <v>2028</v>
      </c>
      <c r="U5" s="20" t="n">
        <v>2028</v>
      </c>
      <c r="V5" s="20" t="n">
        <v>2028</v>
      </c>
      <c r="W5" s="20" t="n">
        <v>2028</v>
      </c>
      <c r="X5" s="20" t="n">
        <v>2028</v>
      </c>
      <c r="Y5" s="20" t="n">
        <v>2028</v>
      </c>
      <c r="Z5" s="20" t="n">
        <v>2028</v>
      </c>
      <c r="AA5" s="20" t="n">
        <v>2029</v>
      </c>
      <c r="AB5" s="20" t="n">
        <v>2029</v>
      </c>
      <c r="AC5" s="20" t="n">
        <v>2029</v>
      </c>
      <c r="AD5" s="20" t="n">
        <v>2029</v>
      </c>
      <c r="AE5" s="20" t="n">
        <v>2029</v>
      </c>
      <c r="AF5" s="20" t="n">
        <v>2029</v>
      </c>
      <c r="AG5" s="20" t="n">
        <v>2029</v>
      </c>
      <c r="AH5" s="20" t="n">
        <v>2029</v>
      </c>
      <c r="AI5" s="20" t="n">
        <v>2029</v>
      </c>
      <c r="AJ5" s="20" t="n">
        <v>2029</v>
      </c>
      <c r="AK5" s="20" t="n">
        <v>2029</v>
      </c>
      <c r="AL5" s="20" t="n">
        <v>2029</v>
      </c>
      <c r="AM5" s="10" t="n"/>
      <c r="AN5" s="20" t="n">
        <v>2027</v>
      </c>
      <c r="AO5" s="20" t="n">
        <v>2028</v>
      </c>
      <c r="AP5" s="20" t="n">
        <v>2029</v>
      </c>
      <c r="AQ5" s="10" t="n"/>
    </row>
    <row r="6">
      <c r="A6" s="7" t="inlineStr">
        <is>
          <t>Year index</t>
        </is>
      </c>
      <c r="C6">
        <f>C5-2026</f>
        <v/>
      </c>
      <c r="D6">
        <f>D5-2026</f>
        <v/>
      </c>
      <c r="E6">
        <f>E5-2026</f>
        <v/>
      </c>
      <c r="F6">
        <f>F5-2026</f>
        <v/>
      </c>
      <c r="G6">
        <f>G5-2026</f>
        <v/>
      </c>
      <c r="H6">
        <f>H5-2026</f>
        <v/>
      </c>
      <c r="I6">
        <f>I5-2026</f>
        <v/>
      </c>
      <c r="J6">
        <f>J5-2026</f>
        <v/>
      </c>
      <c r="K6">
        <f>K5-2026</f>
        <v/>
      </c>
      <c r="L6">
        <f>L5-2026</f>
        <v/>
      </c>
      <c r="M6">
        <f>M5-2026</f>
        <v/>
      </c>
      <c r="N6">
        <f>N5-2026</f>
        <v/>
      </c>
      <c r="O6">
        <f>O5-2026</f>
        <v/>
      </c>
      <c r="P6">
        <f>P5-2026</f>
        <v/>
      </c>
      <c r="Q6">
        <f>Q5-2026</f>
        <v/>
      </c>
      <c r="R6">
        <f>R5-2026</f>
        <v/>
      </c>
      <c r="S6">
        <f>S5-2026</f>
        <v/>
      </c>
      <c r="T6">
        <f>T5-2026</f>
        <v/>
      </c>
      <c r="U6">
        <f>U5-2026</f>
        <v/>
      </c>
      <c r="V6">
        <f>V5-2026</f>
        <v/>
      </c>
      <c r="W6">
        <f>W5-2026</f>
        <v/>
      </c>
      <c r="X6">
        <f>X5-2026</f>
        <v/>
      </c>
      <c r="Y6">
        <f>Y5-2026</f>
        <v/>
      </c>
      <c r="Z6">
        <f>Z5-2026</f>
        <v/>
      </c>
      <c r="AA6">
        <f>AA5-2026</f>
        <v/>
      </c>
      <c r="AB6">
        <f>AB5-2026</f>
        <v/>
      </c>
      <c r="AC6">
        <f>AC5-2026</f>
        <v/>
      </c>
      <c r="AD6">
        <f>AD5-2026</f>
        <v/>
      </c>
      <c r="AE6">
        <f>AE5-2026</f>
        <v/>
      </c>
      <c r="AF6">
        <f>AF5-2026</f>
        <v/>
      </c>
      <c r="AG6">
        <f>AG5-2026</f>
        <v/>
      </c>
      <c r="AH6">
        <f>AH5-2026</f>
        <v/>
      </c>
      <c r="AI6">
        <f>AI5-2026</f>
        <v/>
      </c>
      <c r="AJ6">
        <f>AJ5-2026</f>
        <v/>
      </c>
      <c r="AK6">
        <f>AK5-2026</f>
        <v/>
      </c>
      <c r="AL6">
        <f>AL5-2026</f>
        <v/>
      </c>
    </row>
    <row r="7">
      <c r="A7" s="9" t="inlineStr">
        <is>
          <t>REVENUE</t>
        </is>
      </c>
      <c r="B7" s="10" t="n"/>
      <c r="C7" s="10" t="n"/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  <c r="M7" s="10" t="n"/>
      <c r="N7" s="10" t="n"/>
      <c r="O7" s="10" t="n"/>
      <c r="P7" s="10" t="n"/>
      <c r="Q7" s="10" t="n"/>
      <c r="R7" s="10" t="n"/>
      <c r="S7" s="10" t="n"/>
      <c r="T7" s="10" t="n"/>
      <c r="U7" s="10" t="n"/>
      <c r="V7" s="10" t="n"/>
      <c r="W7" s="10" t="n"/>
      <c r="X7" s="10" t="n"/>
      <c r="Y7" s="10" t="n"/>
      <c r="Z7" s="10" t="n"/>
      <c r="AA7" s="10" t="n"/>
      <c r="AB7" s="10" t="n"/>
      <c r="AC7" s="10" t="n"/>
      <c r="AD7" s="10" t="n"/>
      <c r="AE7" s="10" t="n"/>
      <c r="AF7" s="10" t="n"/>
      <c r="AG7" s="10" t="n"/>
      <c r="AH7" s="10" t="n"/>
      <c r="AI7" s="10" t="n"/>
      <c r="AJ7" s="10" t="n"/>
      <c r="AK7" s="10" t="n"/>
      <c r="AL7" s="10" t="n"/>
      <c r="AM7" s="10" t="n"/>
      <c r="AN7" s="10" t="n"/>
      <c r="AO7" s="10" t="n"/>
      <c r="AP7" s="10" t="n"/>
      <c r="AQ7" s="10" t="n"/>
    </row>
    <row r="8">
      <c r="A8" s="22" t="inlineStr">
        <is>
          <t>Advisory</t>
        </is>
      </c>
      <c r="B8" s="4" t="inlineStr"/>
      <c r="C8" s="19">
        <f>'Revenue build'!C23</f>
        <v/>
      </c>
      <c r="D8" s="19">
        <f>'Revenue build'!D23</f>
        <v/>
      </c>
      <c r="E8" s="19">
        <f>'Revenue build'!E23</f>
        <v/>
      </c>
      <c r="F8" s="19">
        <f>'Revenue build'!F23</f>
        <v/>
      </c>
      <c r="G8" s="19">
        <f>'Revenue build'!G23</f>
        <v/>
      </c>
      <c r="H8" s="19">
        <f>'Revenue build'!H23</f>
        <v/>
      </c>
      <c r="I8" s="19">
        <f>'Revenue build'!I23</f>
        <v/>
      </c>
      <c r="J8" s="19">
        <f>'Revenue build'!J23</f>
        <v/>
      </c>
      <c r="K8" s="19">
        <f>'Revenue build'!K23</f>
        <v/>
      </c>
      <c r="L8" s="19">
        <f>'Revenue build'!L23</f>
        <v/>
      </c>
      <c r="M8" s="19">
        <f>'Revenue build'!M23</f>
        <v/>
      </c>
      <c r="N8" s="19">
        <f>'Revenue build'!N23</f>
        <v/>
      </c>
      <c r="O8" s="19">
        <f>'Revenue build'!O23</f>
        <v/>
      </c>
      <c r="P8" s="19">
        <f>'Revenue build'!P23</f>
        <v/>
      </c>
      <c r="Q8" s="19">
        <f>'Revenue build'!Q23</f>
        <v/>
      </c>
      <c r="R8" s="19">
        <f>'Revenue build'!R23</f>
        <v/>
      </c>
      <c r="S8" s="19">
        <f>'Revenue build'!S23</f>
        <v/>
      </c>
      <c r="T8" s="19">
        <f>'Revenue build'!T23</f>
        <v/>
      </c>
      <c r="U8" s="19">
        <f>'Revenue build'!U23</f>
        <v/>
      </c>
      <c r="V8" s="19">
        <f>'Revenue build'!V23</f>
        <v/>
      </c>
      <c r="W8" s="19">
        <f>'Revenue build'!W23</f>
        <v/>
      </c>
      <c r="X8" s="19">
        <f>'Revenue build'!X23</f>
        <v/>
      </c>
      <c r="Y8" s="19">
        <f>'Revenue build'!Y23</f>
        <v/>
      </c>
      <c r="Z8" s="19">
        <f>'Revenue build'!Z23</f>
        <v/>
      </c>
      <c r="AA8" s="19">
        <f>'Revenue build'!AA23</f>
        <v/>
      </c>
      <c r="AB8" s="19">
        <f>'Revenue build'!AB23</f>
        <v/>
      </c>
      <c r="AC8" s="19">
        <f>'Revenue build'!AC23</f>
        <v/>
      </c>
      <c r="AD8" s="19">
        <f>'Revenue build'!AD23</f>
        <v/>
      </c>
      <c r="AE8" s="19">
        <f>'Revenue build'!AE23</f>
        <v/>
      </c>
      <c r="AF8" s="19">
        <f>'Revenue build'!AF23</f>
        <v/>
      </c>
      <c r="AG8" s="19">
        <f>'Revenue build'!AG23</f>
        <v/>
      </c>
      <c r="AH8" s="19">
        <f>'Revenue build'!AH23</f>
        <v/>
      </c>
      <c r="AI8" s="19">
        <f>'Revenue build'!AI23</f>
        <v/>
      </c>
      <c r="AJ8" s="19">
        <f>'Revenue build'!AJ23</f>
        <v/>
      </c>
      <c r="AK8" s="19">
        <f>'Revenue build'!AK23</f>
        <v/>
      </c>
      <c r="AL8" s="19">
        <f>'Revenue build'!AL23</f>
        <v/>
      </c>
      <c r="AN8" s="19">
        <f>SUMIF($C$5:$AL$5,AN$5,C8:AL8)</f>
        <v/>
      </c>
      <c r="AO8" s="19">
        <f>SUMIF($C$5:$AL$5,AO$5,C8:AL8)</f>
        <v/>
      </c>
      <c r="AP8" s="19">
        <f>SUMIF($C$5:$AL$5,AP$5,C8:AL8)</f>
        <v/>
      </c>
      <c r="AQ8" s="19">
        <f>SUM(C8:AL8)</f>
        <v/>
      </c>
    </row>
    <row r="9">
      <c r="A9" s="22" t="inlineStr">
        <is>
          <t>Consulting</t>
        </is>
      </c>
      <c r="B9" s="4" t="inlineStr"/>
      <c r="C9" s="19">
        <f>'Revenue build'!C27</f>
        <v/>
      </c>
      <c r="D9" s="19">
        <f>'Revenue build'!D27</f>
        <v/>
      </c>
      <c r="E9" s="19">
        <f>'Revenue build'!E27</f>
        <v/>
      </c>
      <c r="F9" s="19">
        <f>'Revenue build'!F27</f>
        <v/>
      </c>
      <c r="G9" s="19">
        <f>'Revenue build'!G27</f>
        <v/>
      </c>
      <c r="H9" s="19">
        <f>'Revenue build'!H27</f>
        <v/>
      </c>
      <c r="I9" s="19">
        <f>'Revenue build'!I27</f>
        <v/>
      </c>
      <c r="J9" s="19">
        <f>'Revenue build'!J27</f>
        <v/>
      </c>
      <c r="K9" s="19">
        <f>'Revenue build'!K27</f>
        <v/>
      </c>
      <c r="L9" s="19">
        <f>'Revenue build'!L27</f>
        <v/>
      </c>
      <c r="M9" s="19">
        <f>'Revenue build'!M27</f>
        <v/>
      </c>
      <c r="N9" s="19">
        <f>'Revenue build'!N27</f>
        <v/>
      </c>
      <c r="O9" s="19">
        <f>'Revenue build'!O27</f>
        <v/>
      </c>
      <c r="P9" s="19">
        <f>'Revenue build'!P27</f>
        <v/>
      </c>
      <c r="Q9" s="19">
        <f>'Revenue build'!Q27</f>
        <v/>
      </c>
      <c r="R9" s="19">
        <f>'Revenue build'!R27</f>
        <v/>
      </c>
      <c r="S9" s="19">
        <f>'Revenue build'!S27</f>
        <v/>
      </c>
      <c r="T9" s="19">
        <f>'Revenue build'!T27</f>
        <v/>
      </c>
      <c r="U9" s="19">
        <f>'Revenue build'!U27</f>
        <v/>
      </c>
      <c r="V9" s="19">
        <f>'Revenue build'!V27</f>
        <v/>
      </c>
      <c r="W9" s="19">
        <f>'Revenue build'!W27</f>
        <v/>
      </c>
      <c r="X9" s="19">
        <f>'Revenue build'!X27</f>
        <v/>
      </c>
      <c r="Y9" s="19">
        <f>'Revenue build'!Y27</f>
        <v/>
      </c>
      <c r="Z9" s="19">
        <f>'Revenue build'!Z27</f>
        <v/>
      </c>
      <c r="AA9" s="19">
        <f>'Revenue build'!AA27</f>
        <v/>
      </c>
      <c r="AB9" s="19">
        <f>'Revenue build'!AB27</f>
        <v/>
      </c>
      <c r="AC9" s="19">
        <f>'Revenue build'!AC27</f>
        <v/>
      </c>
      <c r="AD9" s="19">
        <f>'Revenue build'!AD27</f>
        <v/>
      </c>
      <c r="AE9" s="19">
        <f>'Revenue build'!AE27</f>
        <v/>
      </c>
      <c r="AF9" s="19">
        <f>'Revenue build'!AF27</f>
        <v/>
      </c>
      <c r="AG9" s="19">
        <f>'Revenue build'!AG27</f>
        <v/>
      </c>
      <c r="AH9" s="19">
        <f>'Revenue build'!AH27</f>
        <v/>
      </c>
      <c r="AI9" s="19">
        <f>'Revenue build'!AI27</f>
        <v/>
      </c>
      <c r="AJ9" s="19">
        <f>'Revenue build'!AJ27</f>
        <v/>
      </c>
      <c r="AK9" s="19">
        <f>'Revenue build'!AK27</f>
        <v/>
      </c>
      <c r="AL9" s="19">
        <f>'Revenue build'!AL27</f>
        <v/>
      </c>
      <c r="AN9" s="19">
        <f>SUMIF($C$5:$AL$5,AN$5,C9:AL9)</f>
        <v/>
      </c>
      <c r="AO9" s="19">
        <f>SUMIF($C$5:$AL$5,AO$5,C9:AL9)</f>
        <v/>
      </c>
      <c r="AP9" s="19">
        <f>SUMIF($C$5:$AL$5,AP$5,C9:AL9)</f>
        <v/>
      </c>
      <c r="AQ9" s="19">
        <f>SUM(C9:AL9)</f>
        <v/>
      </c>
    </row>
    <row r="10">
      <c r="A10" s="22" t="inlineStr">
        <is>
          <t>E-learning</t>
        </is>
      </c>
      <c r="B10" s="4" t="inlineStr"/>
      <c r="C10" s="19">
        <f>'Revenue build'!C36</f>
        <v/>
      </c>
      <c r="D10" s="19">
        <f>'Revenue build'!D36</f>
        <v/>
      </c>
      <c r="E10" s="19">
        <f>'Revenue build'!E36</f>
        <v/>
      </c>
      <c r="F10" s="19">
        <f>'Revenue build'!F36</f>
        <v/>
      </c>
      <c r="G10" s="19">
        <f>'Revenue build'!G36</f>
        <v/>
      </c>
      <c r="H10" s="19">
        <f>'Revenue build'!H36</f>
        <v/>
      </c>
      <c r="I10" s="19">
        <f>'Revenue build'!I36</f>
        <v/>
      </c>
      <c r="J10" s="19">
        <f>'Revenue build'!J36</f>
        <v/>
      </c>
      <c r="K10" s="19">
        <f>'Revenue build'!K36</f>
        <v/>
      </c>
      <c r="L10" s="19">
        <f>'Revenue build'!L36</f>
        <v/>
      </c>
      <c r="M10" s="19">
        <f>'Revenue build'!M36</f>
        <v/>
      </c>
      <c r="N10" s="19">
        <f>'Revenue build'!N36</f>
        <v/>
      </c>
      <c r="O10" s="19">
        <f>'Revenue build'!O36</f>
        <v/>
      </c>
      <c r="P10" s="19">
        <f>'Revenue build'!P36</f>
        <v/>
      </c>
      <c r="Q10" s="19">
        <f>'Revenue build'!Q36</f>
        <v/>
      </c>
      <c r="R10" s="19">
        <f>'Revenue build'!R36</f>
        <v/>
      </c>
      <c r="S10" s="19">
        <f>'Revenue build'!S36</f>
        <v/>
      </c>
      <c r="T10" s="19">
        <f>'Revenue build'!T36</f>
        <v/>
      </c>
      <c r="U10" s="19">
        <f>'Revenue build'!U36</f>
        <v/>
      </c>
      <c r="V10" s="19">
        <f>'Revenue build'!V36</f>
        <v/>
      </c>
      <c r="W10" s="19">
        <f>'Revenue build'!W36</f>
        <v/>
      </c>
      <c r="X10" s="19">
        <f>'Revenue build'!X36</f>
        <v/>
      </c>
      <c r="Y10" s="19">
        <f>'Revenue build'!Y36</f>
        <v/>
      </c>
      <c r="Z10" s="19">
        <f>'Revenue build'!Z36</f>
        <v/>
      </c>
      <c r="AA10" s="19">
        <f>'Revenue build'!AA36</f>
        <v/>
      </c>
      <c r="AB10" s="19">
        <f>'Revenue build'!AB36</f>
        <v/>
      </c>
      <c r="AC10" s="19">
        <f>'Revenue build'!AC36</f>
        <v/>
      </c>
      <c r="AD10" s="19">
        <f>'Revenue build'!AD36</f>
        <v/>
      </c>
      <c r="AE10" s="19">
        <f>'Revenue build'!AE36</f>
        <v/>
      </c>
      <c r="AF10" s="19">
        <f>'Revenue build'!AF36</f>
        <v/>
      </c>
      <c r="AG10" s="19">
        <f>'Revenue build'!AG36</f>
        <v/>
      </c>
      <c r="AH10" s="19">
        <f>'Revenue build'!AH36</f>
        <v/>
      </c>
      <c r="AI10" s="19">
        <f>'Revenue build'!AI36</f>
        <v/>
      </c>
      <c r="AJ10" s="19">
        <f>'Revenue build'!AJ36</f>
        <v/>
      </c>
      <c r="AK10" s="19">
        <f>'Revenue build'!AK36</f>
        <v/>
      </c>
      <c r="AL10" s="19">
        <f>'Revenue build'!AL36</f>
        <v/>
      </c>
      <c r="AN10" s="19">
        <f>SUMIF($C$5:$AL$5,AN$5,C10:AL10)</f>
        <v/>
      </c>
      <c r="AO10" s="19">
        <f>SUMIF($C$5:$AL$5,AO$5,C10:AL10)</f>
        <v/>
      </c>
      <c r="AP10" s="19">
        <f>SUMIF($C$5:$AL$5,AP$5,C10:AL10)</f>
        <v/>
      </c>
      <c r="AQ10" s="19">
        <f>SUM(C10:AL10)</f>
        <v/>
      </c>
    </row>
    <row r="11">
      <c r="A11" s="22" t="inlineStr">
        <is>
          <t>MaternaLink (in development)</t>
        </is>
      </c>
      <c r="B11" s="4" t="inlineStr"/>
      <c r="C11" s="19">
        <f>'Revenue build'!C48</f>
        <v/>
      </c>
      <c r="D11" s="19">
        <f>'Revenue build'!D48</f>
        <v/>
      </c>
      <c r="E11" s="19">
        <f>'Revenue build'!E48</f>
        <v/>
      </c>
      <c r="F11" s="19">
        <f>'Revenue build'!F48</f>
        <v/>
      </c>
      <c r="G11" s="19">
        <f>'Revenue build'!G48</f>
        <v/>
      </c>
      <c r="H11" s="19">
        <f>'Revenue build'!H48</f>
        <v/>
      </c>
      <c r="I11" s="19">
        <f>'Revenue build'!I48</f>
        <v/>
      </c>
      <c r="J11" s="19">
        <f>'Revenue build'!J48</f>
        <v/>
      </c>
      <c r="K11" s="19">
        <f>'Revenue build'!K48</f>
        <v/>
      </c>
      <c r="L11" s="19">
        <f>'Revenue build'!L48</f>
        <v/>
      </c>
      <c r="M11" s="19">
        <f>'Revenue build'!M48</f>
        <v/>
      </c>
      <c r="N11" s="19">
        <f>'Revenue build'!N48</f>
        <v/>
      </c>
      <c r="O11" s="19">
        <f>'Revenue build'!O48</f>
        <v/>
      </c>
      <c r="P11" s="19">
        <f>'Revenue build'!P48</f>
        <v/>
      </c>
      <c r="Q11" s="19">
        <f>'Revenue build'!Q48</f>
        <v/>
      </c>
      <c r="R11" s="19">
        <f>'Revenue build'!R48</f>
        <v/>
      </c>
      <c r="S11" s="19">
        <f>'Revenue build'!S48</f>
        <v/>
      </c>
      <c r="T11" s="19">
        <f>'Revenue build'!T48</f>
        <v/>
      </c>
      <c r="U11" s="19">
        <f>'Revenue build'!U48</f>
        <v/>
      </c>
      <c r="V11" s="19">
        <f>'Revenue build'!V48</f>
        <v/>
      </c>
      <c r="W11" s="19">
        <f>'Revenue build'!W48</f>
        <v/>
      </c>
      <c r="X11" s="19">
        <f>'Revenue build'!X48</f>
        <v/>
      </c>
      <c r="Y11" s="19">
        <f>'Revenue build'!Y48</f>
        <v/>
      </c>
      <c r="Z11" s="19">
        <f>'Revenue build'!Z48</f>
        <v/>
      </c>
      <c r="AA11" s="19">
        <f>'Revenue build'!AA48</f>
        <v/>
      </c>
      <c r="AB11" s="19">
        <f>'Revenue build'!AB48</f>
        <v/>
      </c>
      <c r="AC11" s="19">
        <f>'Revenue build'!AC48</f>
        <v/>
      </c>
      <c r="AD11" s="19">
        <f>'Revenue build'!AD48</f>
        <v/>
      </c>
      <c r="AE11" s="19">
        <f>'Revenue build'!AE48</f>
        <v/>
      </c>
      <c r="AF11" s="19">
        <f>'Revenue build'!AF48</f>
        <v/>
      </c>
      <c r="AG11" s="19">
        <f>'Revenue build'!AG48</f>
        <v/>
      </c>
      <c r="AH11" s="19">
        <f>'Revenue build'!AH48</f>
        <v/>
      </c>
      <c r="AI11" s="19">
        <f>'Revenue build'!AI48</f>
        <v/>
      </c>
      <c r="AJ11" s="19">
        <f>'Revenue build'!AJ48</f>
        <v/>
      </c>
      <c r="AK11" s="19">
        <f>'Revenue build'!AK48</f>
        <v/>
      </c>
      <c r="AL11" s="19">
        <f>'Revenue build'!AL48</f>
        <v/>
      </c>
      <c r="AN11" s="19">
        <f>SUMIF($C$5:$AL$5,AN$5,C11:AL11)</f>
        <v/>
      </c>
      <c r="AO11" s="19">
        <f>SUMIF($C$5:$AL$5,AO$5,C11:AL11)</f>
        <v/>
      </c>
      <c r="AP11" s="19">
        <f>SUMIF($C$5:$AL$5,AP$5,C11:AL11)</f>
        <v/>
      </c>
      <c r="AQ11" s="19">
        <f>SUM(C11:AL11)</f>
        <v/>
      </c>
    </row>
    <row r="12">
      <c r="A12" s="7" t="inlineStr">
        <is>
          <t>TOTAL REVENUE</t>
        </is>
      </c>
      <c r="B12" s="4" t="inlineStr"/>
      <c r="C12" s="26">
        <f>SUM(C8:C11)</f>
        <v/>
      </c>
      <c r="D12" s="26">
        <f>SUM(D8:D11)</f>
        <v/>
      </c>
      <c r="E12" s="26">
        <f>SUM(E8:E11)</f>
        <v/>
      </c>
      <c r="F12" s="26">
        <f>SUM(F8:F11)</f>
        <v/>
      </c>
      <c r="G12" s="26">
        <f>SUM(G8:G11)</f>
        <v/>
      </c>
      <c r="H12" s="26">
        <f>SUM(H8:H11)</f>
        <v/>
      </c>
      <c r="I12" s="26">
        <f>SUM(I8:I11)</f>
        <v/>
      </c>
      <c r="J12" s="26">
        <f>SUM(J8:J11)</f>
        <v/>
      </c>
      <c r="K12" s="26">
        <f>SUM(K8:K11)</f>
        <v/>
      </c>
      <c r="L12" s="26">
        <f>SUM(L8:L11)</f>
        <v/>
      </c>
      <c r="M12" s="26">
        <f>SUM(M8:M11)</f>
        <v/>
      </c>
      <c r="N12" s="26">
        <f>SUM(N8:N11)</f>
        <v/>
      </c>
      <c r="O12" s="26">
        <f>SUM(O8:O11)</f>
        <v/>
      </c>
      <c r="P12" s="26">
        <f>SUM(P8:P11)</f>
        <v/>
      </c>
      <c r="Q12" s="26">
        <f>SUM(Q8:Q11)</f>
        <v/>
      </c>
      <c r="R12" s="26">
        <f>SUM(R8:R11)</f>
        <v/>
      </c>
      <c r="S12" s="26">
        <f>SUM(S8:S11)</f>
        <v/>
      </c>
      <c r="T12" s="26">
        <f>SUM(T8:T11)</f>
        <v/>
      </c>
      <c r="U12" s="26">
        <f>SUM(U8:U11)</f>
        <v/>
      </c>
      <c r="V12" s="26">
        <f>SUM(V8:V11)</f>
        <v/>
      </c>
      <c r="W12" s="26">
        <f>SUM(W8:W11)</f>
        <v/>
      </c>
      <c r="X12" s="26">
        <f>SUM(X8:X11)</f>
        <v/>
      </c>
      <c r="Y12" s="26">
        <f>SUM(Y8:Y11)</f>
        <v/>
      </c>
      <c r="Z12" s="26">
        <f>SUM(Z8:Z11)</f>
        <v/>
      </c>
      <c r="AA12" s="26">
        <f>SUM(AA8:AA11)</f>
        <v/>
      </c>
      <c r="AB12" s="26">
        <f>SUM(AB8:AB11)</f>
        <v/>
      </c>
      <c r="AC12" s="26">
        <f>SUM(AC8:AC11)</f>
        <v/>
      </c>
      <c r="AD12" s="26">
        <f>SUM(AD8:AD11)</f>
        <v/>
      </c>
      <c r="AE12" s="26">
        <f>SUM(AE8:AE11)</f>
        <v/>
      </c>
      <c r="AF12" s="26">
        <f>SUM(AF8:AF11)</f>
        <v/>
      </c>
      <c r="AG12" s="26">
        <f>SUM(AG8:AG11)</f>
        <v/>
      </c>
      <c r="AH12" s="26">
        <f>SUM(AH8:AH11)</f>
        <v/>
      </c>
      <c r="AI12" s="26">
        <f>SUM(AI8:AI11)</f>
        <v/>
      </c>
      <c r="AJ12" s="26">
        <f>SUM(AJ8:AJ11)</f>
        <v/>
      </c>
      <c r="AK12" s="26">
        <f>SUM(AK8:AK11)</f>
        <v/>
      </c>
      <c r="AL12" s="26">
        <f>SUM(AL8:AL11)</f>
        <v/>
      </c>
      <c r="AN12" s="26">
        <f>SUMIF($C$5:$AL$5,AN$5,C12:AL12)</f>
        <v/>
      </c>
      <c r="AO12" s="26">
        <f>SUMIF($C$5:$AL$5,AO$5,C12:AL12)</f>
        <v/>
      </c>
      <c r="AP12" s="26">
        <f>SUMIF($C$5:$AL$5,AP$5,C12:AL12)</f>
        <v/>
      </c>
      <c r="AQ12" s="26">
        <f>SUM(C12:AL12)</f>
        <v/>
      </c>
    </row>
    <row r="13">
      <c r="A13" s="22" t="inlineStr">
        <is>
          <t>Cost of sales</t>
        </is>
      </c>
      <c r="B13" s="4" t="inlineStr"/>
      <c r="C13" s="19">
        <f>-'Cost of sales'!C12</f>
        <v/>
      </c>
      <c r="D13" s="19">
        <f>-'Cost of sales'!D12</f>
        <v/>
      </c>
      <c r="E13" s="19">
        <f>-'Cost of sales'!E12</f>
        <v/>
      </c>
      <c r="F13" s="19">
        <f>-'Cost of sales'!F12</f>
        <v/>
      </c>
      <c r="G13" s="19">
        <f>-'Cost of sales'!G12</f>
        <v/>
      </c>
      <c r="H13" s="19">
        <f>-'Cost of sales'!H12</f>
        <v/>
      </c>
      <c r="I13" s="19">
        <f>-'Cost of sales'!I12</f>
        <v/>
      </c>
      <c r="J13" s="19">
        <f>-'Cost of sales'!J12</f>
        <v/>
      </c>
      <c r="K13" s="19">
        <f>-'Cost of sales'!K12</f>
        <v/>
      </c>
      <c r="L13" s="19">
        <f>-'Cost of sales'!L12</f>
        <v/>
      </c>
      <c r="M13" s="19">
        <f>-'Cost of sales'!M12</f>
        <v/>
      </c>
      <c r="N13" s="19">
        <f>-'Cost of sales'!N12</f>
        <v/>
      </c>
      <c r="O13" s="19">
        <f>-'Cost of sales'!O12</f>
        <v/>
      </c>
      <c r="P13" s="19">
        <f>-'Cost of sales'!P12</f>
        <v/>
      </c>
      <c r="Q13" s="19">
        <f>-'Cost of sales'!Q12</f>
        <v/>
      </c>
      <c r="R13" s="19">
        <f>-'Cost of sales'!R12</f>
        <v/>
      </c>
      <c r="S13" s="19">
        <f>-'Cost of sales'!S12</f>
        <v/>
      </c>
      <c r="T13" s="19">
        <f>-'Cost of sales'!T12</f>
        <v/>
      </c>
      <c r="U13" s="19">
        <f>-'Cost of sales'!U12</f>
        <v/>
      </c>
      <c r="V13" s="19">
        <f>-'Cost of sales'!V12</f>
        <v/>
      </c>
      <c r="W13" s="19">
        <f>-'Cost of sales'!W12</f>
        <v/>
      </c>
      <c r="X13" s="19">
        <f>-'Cost of sales'!X12</f>
        <v/>
      </c>
      <c r="Y13" s="19">
        <f>-'Cost of sales'!Y12</f>
        <v/>
      </c>
      <c r="Z13" s="19">
        <f>-'Cost of sales'!Z12</f>
        <v/>
      </c>
      <c r="AA13" s="19">
        <f>-'Cost of sales'!AA12</f>
        <v/>
      </c>
      <c r="AB13" s="19">
        <f>-'Cost of sales'!AB12</f>
        <v/>
      </c>
      <c r="AC13" s="19">
        <f>-'Cost of sales'!AC12</f>
        <v/>
      </c>
      <c r="AD13" s="19">
        <f>-'Cost of sales'!AD12</f>
        <v/>
      </c>
      <c r="AE13" s="19">
        <f>-'Cost of sales'!AE12</f>
        <v/>
      </c>
      <c r="AF13" s="19">
        <f>-'Cost of sales'!AF12</f>
        <v/>
      </c>
      <c r="AG13" s="19">
        <f>-'Cost of sales'!AG12</f>
        <v/>
      </c>
      <c r="AH13" s="19">
        <f>-'Cost of sales'!AH12</f>
        <v/>
      </c>
      <c r="AI13" s="19">
        <f>-'Cost of sales'!AI12</f>
        <v/>
      </c>
      <c r="AJ13" s="19">
        <f>-'Cost of sales'!AJ12</f>
        <v/>
      </c>
      <c r="AK13" s="19">
        <f>-'Cost of sales'!AK12</f>
        <v/>
      </c>
      <c r="AL13" s="19">
        <f>-'Cost of sales'!AL12</f>
        <v/>
      </c>
      <c r="AN13" s="19">
        <f>SUMIF($C$5:$AL$5,AN$5,C13:AL13)</f>
        <v/>
      </c>
      <c r="AO13" s="19">
        <f>SUMIF($C$5:$AL$5,AO$5,C13:AL13)</f>
        <v/>
      </c>
      <c r="AP13" s="19">
        <f>SUMIF($C$5:$AL$5,AP$5,C13:AL13)</f>
        <v/>
      </c>
      <c r="AQ13" s="19">
        <f>SUM(C13:AL13)</f>
        <v/>
      </c>
    </row>
    <row r="14">
      <c r="A14" s="7" t="inlineStr">
        <is>
          <t>GROSS PROFIT</t>
        </is>
      </c>
      <c r="B14" s="4" t="inlineStr"/>
      <c r="C14" s="26">
        <f>'P&amp;L'!C12+'P&amp;L'!C13</f>
        <v/>
      </c>
      <c r="D14" s="26">
        <f>'P&amp;L'!D12+'P&amp;L'!D13</f>
        <v/>
      </c>
      <c r="E14" s="26">
        <f>'P&amp;L'!E12+'P&amp;L'!E13</f>
        <v/>
      </c>
      <c r="F14" s="26">
        <f>'P&amp;L'!F12+'P&amp;L'!F13</f>
        <v/>
      </c>
      <c r="G14" s="26">
        <f>'P&amp;L'!G12+'P&amp;L'!G13</f>
        <v/>
      </c>
      <c r="H14" s="26">
        <f>'P&amp;L'!H12+'P&amp;L'!H13</f>
        <v/>
      </c>
      <c r="I14" s="26">
        <f>'P&amp;L'!I12+'P&amp;L'!I13</f>
        <v/>
      </c>
      <c r="J14" s="26">
        <f>'P&amp;L'!J12+'P&amp;L'!J13</f>
        <v/>
      </c>
      <c r="K14" s="26">
        <f>'P&amp;L'!K12+'P&amp;L'!K13</f>
        <v/>
      </c>
      <c r="L14" s="26">
        <f>'P&amp;L'!L12+'P&amp;L'!L13</f>
        <v/>
      </c>
      <c r="M14" s="26">
        <f>'P&amp;L'!M12+'P&amp;L'!M13</f>
        <v/>
      </c>
      <c r="N14" s="26">
        <f>'P&amp;L'!N12+'P&amp;L'!N13</f>
        <v/>
      </c>
      <c r="O14" s="26">
        <f>'P&amp;L'!O12+'P&amp;L'!O13</f>
        <v/>
      </c>
      <c r="P14" s="26">
        <f>'P&amp;L'!P12+'P&amp;L'!P13</f>
        <v/>
      </c>
      <c r="Q14" s="26">
        <f>'P&amp;L'!Q12+'P&amp;L'!Q13</f>
        <v/>
      </c>
      <c r="R14" s="26">
        <f>'P&amp;L'!R12+'P&amp;L'!R13</f>
        <v/>
      </c>
      <c r="S14" s="26">
        <f>'P&amp;L'!S12+'P&amp;L'!S13</f>
        <v/>
      </c>
      <c r="T14" s="26">
        <f>'P&amp;L'!T12+'P&amp;L'!T13</f>
        <v/>
      </c>
      <c r="U14" s="26">
        <f>'P&amp;L'!U12+'P&amp;L'!U13</f>
        <v/>
      </c>
      <c r="V14" s="26">
        <f>'P&amp;L'!V12+'P&amp;L'!V13</f>
        <v/>
      </c>
      <c r="W14" s="26">
        <f>'P&amp;L'!W12+'P&amp;L'!W13</f>
        <v/>
      </c>
      <c r="X14" s="26">
        <f>'P&amp;L'!X12+'P&amp;L'!X13</f>
        <v/>
      </c>
      <c r="Y14" s="26">
        <f>'P&amp;L'!Y12+'P&amp;L'!Y13</f>
        <v/>
      </c>
      <c r="Z14" s="26">
        <f>'P&amp;L'!Z12+'P&amp;L'!Z13</f>
        <v/>
      </c>
      <c r="AA14" s="26">
        <f>'P&amp;L'!AA12+'P&amp;L'!AA13</f>
        <v/>
      </c>
      <c r="AB14" s="26">
        <f>'P&amp;L'!AB12+'P&amp;L'!AB13</f>
        <v/>
      </c>
      <c r="AC14" s="26">
        <f>'P&amp;L'!AC12+'P&amp;L'!AC13</f>
        <v/>
      </c>
      <c r="AD14" s="26">
        <f>'P&amp;L'!AD12+'P&amp;L'!AD13</f>
        <v/>
      </c>
      <c r="AE14" s="26">
        <f>'P&amp;L'!AE12+'P&amp;L'!AE13</f>
        <v/>
      </c>
      <c r="AF14" s="26">
        <f>'P&amp;L'!AF12+'P&amp;L'!AF13</f>
        <v/>
      </c>
      <c r="AG14" s="26">
        <f>'P&amp;L'!AG12+'P&amp;L'!AG13</f>
        <v/>
      </c>
      <c r="AH14" s="26">
        <f>'P&amp;L'!AH12+'P&amp;L'!AH13</f>
        <v/>
      </c>
      <c r="AI14" s="26">
        <f>'P&amp;L'!AI12+'P&amp;L'!AI13</f>
        <v/>
      </c>
      <c r="AJ14" s="26">
        <f>'P&amp;L'!AJ12+'P&amp;L'!AJ13</f>
        <v/>
      </c>
      <c r="AK14" s="26">
        <f>'P&amp;L'!AK12+'P&amp;L'!AK13</f>
        <v/>
      </c>
      <c r="AL14" s="26">
        <f>'P&amp;L'!AL12+'P&amp;L'!AL13</f>
        <v/>
      </c>
      <c r="AN14" s="26">
        <f>SUMIF($C$5:$AL$5,AN$5,C14:AL14)</f>
        <v/>
      </c>
      <c r="AO14" s="26">
        <f>SUMIF($C$5:$AL$5,AO$5,C14:AL14)</f>
        <v/>
      </c>
      <c r="AP14" s="26">
        <f>SUMIF($C$5:$AL$5,AP$5,C14:AL14)</f>
        <v/>
      </c>
      <c r="AQ14" s="26">
        <f>SUM(C14:AL14)</f>
        <v/>
      </c>
    </row>
    <row r="15">
      <c r="A15" s="22" t="inlineStr">
        <is>
          <t>Gross margin %</t>
        </is>
      </c>
      <c r="B15" s="4" t="inlineStr"/>
      <c r="C15" s="25">
        <f>IF('P&amp;L'!C12&gt;0,'P&amp;L'!C14/'P&amp;L'!C12,0)</f>
        <v/>
      </c>
      <c r="D15" s="25">
        <f>IF('P&amp;L'!D12&gt;0,'P&amp;L'!D14/'P&amp;L'!D12,0)</f>
        <v/>
      </c>
      <c r="E15" s="25">
        <f>IF('P&amp;L'!E12&gt;0,'P&amp;L'!E14/'P&amp;L'!E12,0)</f>
        <v/>
      </c>
      <c r="F15" s="25">
        <f>IF('P&amp;L'!F12&gt;0,'P&amp;L'!F14/'P&amp;L'!F12,0)</f>
        <v/>
      </c>
      <c r="G15" s="25">
        <f>IF('P&amp;L'!G12&gt;0,'P&amp;L'!G14/'P&amp;L'!G12,0)</f>
        <v/>
      </c>
      <c r="H15" s="25">
        <f>IF('P&amp;L'!H12&gt;0,'P&amp;L'!H14/'P&amp;L'!H12,0)</f>
        <v/>
      </c>
      <c r="I15" s="25">
        <f>IF('P&amp;L'!I12&gt;0,'P&amp;L'!I14/'P&amp;L'!I12,0)</f>
        <v/>
      </c>
      <c r="J15" s="25">
        <f>IF('P&amp;L'!J12&gt;0,'P&amp;L'!J14/'P&amp;L'!J12,0)</f>
        <v/>
      </c>
      <c r="K15" s="25">
        <f>IF('P&amp;L'!K12&gt;0,'P&amp;L'!K14/'P&amp;L'!K12,0)</f>
        <v/>
      </c>
      <c r="L15" s="25">
        <f>IF('P&amp;L'!L12&gt;0,'P&amp;L'!L14/'P&amp;L'!L12,0)</f>
        <v/>
      </c>
      <c r="M15" s="25">
        <f>IF('P&amp;L'!M12&gt;0,'P&amp;L'!M14/'P&amp;L'!M12,0)</f>
        <v/>
      </c>
      <c r="N15" s="25">
        <f>IF('P&amp;L'!N12&gt;0,'P&amp;L'!N14/'P&amp;L'!N12,0)</f>
        <v/>
      </c>
      <c r="O15" s="25">
        <f>IF('P&amp;L'!O12&gt;0,'P&amp;L'!O14/'P&amp;L'!O12,0)</f>
        <v/>
      </c>
      <c r="P15" s="25">
        <f>IF('P&amp;L'!P12&gt;0,'P&amp;L'!P14/'P&amp;L'!P12,0)</f>
        <v/>
      </c>
      <c r="Q15" s="25">
        <f>IF('P&amp;L'!Q12&gt;0,'P&amp;L'!Q14/'P&amp;L'!Q12,0)</f>
        <v/>
      </c>
      <c r="R15" s="25">
        <f>IF('P&amp;L'!R12&gt;0,'P&amp;L'!R14/'P&amp;L'!R12,0)</f>
        <v/>
      </c>
      <c r="S15" s="25">
        <f>IF('P&amp;L'!S12&gt;0,'P&amp;L'!S14/'P&amp;L'!S12,0)</f>
        <v/>
      </c>
      <c r="T15" s="25">
        <f>IF('P&amp;L'!T12&gt;0,'P&amp;L'!T14/'P&amp;L'!T12,0)</f>
        <v/>
      </c>
      <c r="U15" s="25">
        <f>IF('P&amp;L'!U12&gt;0,'P&amp;L'!U14/'P&amp;L'!U12,0)</f>
        <v/>
      </c>
      <c r="V15" s="25">
        <f>IF('P&amp;L'!V12&gt;0,'P&amp;L'!V14/'P&amp;L'!V12,0)</f>
        <v/>
      </c>
      <c r="W15" s="25">
        <f>IF('P&amp;L'!W12&gt;0,'P&amp;L'!W14/'P&amp;L'!W12,0)</f>
        <v/>
      </c>
      <c r="X15" s="25">
        <f>IF('P&amp;L'!X12&gt;0,'P&amp;L'!X14/'P&amp;L'!X12,0)</f>
        <v/>
      </c>
      <c r="Y15" s="25">
        <f>IF('P&amp;L'!Y12&gt;0,'P&amp;L'!Y14/'P&amp;L'!Y12,0)</f>
        <v/>
      </c>
      <c r="Z15" s="25">
        <f>IF('P&amp;L'!Z12&gt;0,'P&amp;L'!Z14/'P&amp;L'!Z12,0)</f>
        <v/>
      </c>
      <c r="AA15" s="25">
        <f>IF('P&amp;L'!AA12&gt;0,'P&amp;L'!AA14/'P&amp;L'!AA12,0)</f>
        <v/>
      </c>
      <c r="AB15" s="25">
        <f>IF('P&amp;L'!AB12&gt;0,'P&amp;L'!AB14/'P&amp;L'!AB12,0)</f>
        <v/>
      </c>
      <c r="AC15" s="25">
        <f>IF('P&amp;L'!AC12&gt;0,'P&amp;L'!AC14/'P&amp;L'!AC12,0)</f>
        <v/>
      </c>
      <c r="AD15" s="25">
        <f>IF('P&amp;L'!AD12&gt;0,'P&amp;L'!AD14/'P&amp;L'!AD12,0)</f>
        <v/>
      </c>
      <c r="AE15" s="25">
        <f>IF('P&amp;L'!AE12&gt;0,'P&amp;L'!AE14/'P&amp;L'!AE12,0)</f>
        <v/>
      </c>
      <c r="AF15" s="25">
        <f>IF('P&amp;L'!AF12&gt;0,'P&amp;L'!AF14/'P&amp;L'!AF12,0)</f>
        <v/>
      </c>
      <c r="AG15" s="25">
        <f>IF('P&amp;L'!AG12&gt;0,'P&amp;L'!AG14/'P&amp;L'!AG12,0)</f>
        <v/>
      </c>
      <c r="AH15" s="25">
        <f>IF('P&amp;L'!AH12&gt;0,'P&amp;L'!AH14/'P&amp;L'!AH12,0)</f>
        <v/>
      </c>
      <c r="AI15" s="25">
        <f>IF('P&amp;L'!AI12&gt;0,'P&amp;L'!AI14/'P&amp;L'!AI12,0)</f>
        <v/>
      </c>
      <c r="AJ15" s="25">
        <f>IF('P&amp;L'!AJ12&gt;0,'P&amp;L'!AJ14/'P&amp;L'!AJ12,0)</f>
        <v/>
      </c>
      <c r="AK15" s="25">
        <f>IF('P&amp;L'!AK12&gt;0,'P&amp;L'!AK14/'P&amp;L'!AK12,0)</f>
        <v/>
      </c>
      <c r="AL15" s="25">
        <f>IF('P&amp;L'!AL12&gt;0,'P&amp;L'!AL14/'P&amp;L'!AL12,0)</f>
        <v/>
      </c>
      <c r="AN15" s="25">
        <f>IF(AN12&lt;&gt;0,AN14/AN12,0)</f>
        <v/>
      </c>
      <c r="AO15" s="25">
        <f>IF(AO12&lt;&gt;0,AO14/AO12,0)</f>
        <v/>
      </c>
      <c r="AP15" s="25">
        <f>IF(AP12&lt;&gt;0,AP14/AP12,0)</f>
        <v/>
      </c>
      <c r="AQ15" s="25">
        <f>IF(AQ12&lt;&gt;0,AQ14/AQ12,0)</f>
        <v/>
      </c>
    </row>
    <row r="16">
      <c r="A16" s="9" t="inlineStr">
        <is>
          <t>OPERATING EXPENSES</t>
        </is>
      </c>
      <c r="B16" s="10" t="n"/>
      <c r="C16" s="10" t="n"/>
      <c r="D16" s="10" t="n"/>
      <c r="E16" s="10" t="n"/>
      <c r="F16" s="10" t="n"/>
      <c r="G16" s="10" t="n"/>
      <c r="H16" s="10" t="n"/>
      <c r="I16" s="10" t="n"/>
      <c r="J16" s="10" t="n"/>
      <c r="K16" s="10" t="n"/>
      <c r="L16" s="10" t="n"/>
      <c r="M16" s="10" t="n"/>
      <c r="N16" s="10" t="n"/>
      <c r="O16" s="10" t="n"/>
      <c r="P16" s="10" t="n"/>
      <c r="Q16" s="10" t="n"/>
      <c r="R16" s="10" t="n"/>
      <c r="S16" s="10" t="n"/>
      <c r="T16" s="10" t="n"/>
      <c r="U16" s="10" t="n"/>
      <c r="V16" s="10" t="n"/>
      <c r="W16" s="10" t="n"/>
      <c r="X16" s="10" t="n"/>
      <c r="Y16" s="10" t="n"/>
      <c r="Z16" s="10" t="n"/>
      <c r="AA16" s="10" t="n"/>
      <c r="AB16" s="10" t="n"/>
      <c r="AC16" s="10" t="n"/>
      <c r="AD16" s="10" t="n"/>
      <c r="AE16" s="10" t="n"/>
      <c r="AF16" s="10" t="n"/>
      <c r="AG16" s="10" t="n"/>
      <c r="AH16" s="10" t="n"/>
      <c r="AI16" s="10" t="n"/>
      <c r="AJ16" s="10" t="n"/>
      <c r="AK16" s="10" t="n"/>
      <c r="AL16" s="10" t="n"/>
      <c r="AM16" s="10" t="n"/>
      <c r="AN16" s="10" t="n"/>
      <c r="AO16" s="10" t="n"/>
      <c r="AP16" s="10" t="n"/>
      <c r="AQ16" s="10" t="n"/>
    </row>
    <row r="17">
      <c r="A17" s="22" t="inlineStr">
        <is>
          <t>Employment (founder + hires, incl. NI and pension)</t>
        </is>
      </c>
      <c r="B17" s="4" t="inlineStr"/>
      <c r="C17" s="19">
        <f>-'Opex'!C13</f>
        <v/>
      </c>
      <c r="D17" s="19">
        <f>-'Opex'!D13</f>
        <v/>
      </c>
      <c r="E17" s="19">
        <f>-'Opex'!E13</f>
        <v/>
      </c>
      <c r="F17" s="19">
        <f>-'Opex'!F13</f>
        <v/>
      </c>
      <c r="G17" s="19">
        <f>-'Opex'!G13</f>
        <v/>
      </c>
      <c r="H17" s="19">
        <f>-'Opex'!H13</f>
        <v/>
      </c>
      <c r="I17" s="19">
        <f>-'Opex'!I13</f>
        <v/>
      </c>
      <c r="J17" s="19">
        <f>-'Opex'!J13</f>
        <v/>
      </c>
      <c r="K17" s="19">
        <f>-'Opex'!K13</f>
        <v/>
      </c>
      <c r="L17" s="19">
        <f>-'Opex'!L13</f>
        <v/>
      </c>
      <c r="M17" s="19">
        <f>-'Opex'!M13</f>
        <v/>
      </c>
      <c r="N17" s="19">
        <f>-'Opex'!N13</f>
        <v/>
      </c>
      <c r="O17" s="19">
        <f>-'Opex'!O13</f>
        <v/>
      </c>
      <c r="P17" s="19">
        <f>-'Opex'!P13</f>
        <v/>
      </c>
      <c r="Q17" s="19">
        <f>-'Opex'!Q13</f>
        <v/>
      </c>
      <c r="R17" s="19">
        <f>-'Opex'!R13</f>
        <v/>
      </c>
      <c r="S17" s="19">
        <f>-'Opex'!S13</f>
        <v/>
      </c>
      <c r="T17" s="19">
        <f>-'Opex'!T13</f>
        <v/>
      </c>
      <c r="U17" s="19">
        <f>-'Opex'!U13</f>
        <v/>
      </c>
      <c r="V17" s="19">
        <f>-'Opex'!V13</f>
        <v/>
      </c>
      <c r="W17" s="19">
        <f>-'Opex'!W13</f>
        <v/>
      </c>
      <c r="X17" s="19">
        <f>-'Opex'!X13</f>
        <v/>
      </c>
      <c r="Y17" s="19">
        <f>-'Opex'!Y13</f>
        <v/>
      </c>
      <c r="Z17" s="19">
        <f>-'Opex'!Z13</f>
        <v/>
      </c>
      <c r="AA17" s="19">
        <f>-'Opex'!AA13</f>
        <v/>
      </c>
      <c r="AB17" s="19">
        <f>-'Opex'!AB13</f>
        <v/>
      </c>
      <c r="AC17" s="19">
        <f>-'Opex'!AC13</f>
        <v/>
      </c>
      <c r="AD17" s="19">
        <f>-'Opex'!AD13</f>
        <v/>
      </c>
      <c r="AE17" s="19">
        <f>-'Opex'!AE13</f>
        <v/>
      </c>
      <c r="AF17" s="19">
        <f>-'Opex'!AF13</f>
        <v/>
      </c>
      <c r="AG17" s="19">
        <f>-'Opex'!AG13</f>
        <v/>
      </c>
      <c r="AH17" s="19">
        <f>-'Opex'!AH13</f>
        <v/>
      </c>
      <c r="AI17" s="19">
        <f>-'Opex'!AI13</f>
        <v/>
      </c>
      <c r="AJ17" s="19">
        <f>-'Opex'!AJ13</f>
        <v/>
      </c>
      <c r="AK17" s="19">
        <f>-'Opex'!AK13</f>
        <v/>
      </c>
      <c r="AL17" s="19">
        <f>-'Opex'!AL13</f>
        <v/>
      </c>
      <c r="AN17" s="19">
        <f>SUMIF($C$5:$AL$5,AN$5,C17:AL17)</f>
        <v/>
      </c>
      <c r="AO17" s="19">
        <f>SUMIF($C$5:$AL$5,AO$5,C17:AL17)</f>
        <v/>
      </c>
      <c r="AP17" s="19">
        <f>SUMIF($C$5:$AL$5,AP$5,C17:AL17)</f>
        <v/>
      </c>
      <c r="AQ17" s="19">
        <f>SUM(C17:AL17)</f>
        <v/>
      </c>
    </row>
    <row r="18">
      <c r="A18" s="22" t="inlineStr">
        <is>
          <t>Contractors</t>
        </is>
      </c>
      <c r="B18" s="4" t="inlineStr"/>
      <c r="C18" s="19">
        <f>-'Opex'!C16</f>
        <v/>
      </c>
      <c r="D18" s="19">
        <f>-'Opex'!D16</f>
        <v/>
      </c>
      <c r="E18" s="19">
        <f>-'Opex'!E16</f>
        <v/>
      </c>
      <c r="F18" s="19">
        <f>-'Opex'!F16</f>
        <v/>
      </c>
      <c r="G18" s="19">
        <f>-'Opex'!G16</f>
        <v/>
      </c>
      <c r="H18" s="19">
        <f>-'Opex'!H16</f>
        <v/>
      </c>
      <c r="I18" s="19">
        <f>-'Opex'!I16</f>
        <v/>
      </c>
      <c r="J18" s="19">
        <f>-'Opex'!J16</f>
        <v/>
      </c>
      <c r="K18" s="19">
        <f>-'Opex'!K16</f>
        <v/>
      </c>
      <c r="L18" s="19">
        <f>-'Opex'!L16</f>
        <v/>
      </c>
      <c r="M18" s="19">
        <f>-'Opex'!M16</f>
        <v/>
      </c>
      <c r="N18" s="19">
        <f>-'Opex'!N16</f>
        <v/>
      </c>
      <c r="O18" s="19">
        <f>-'Opex'!O16</f>
        <v/>
      </c>
      <c r="P18" s="19">
        <f>-'Opex'!P16</f>
        <v/>
      </c>
      <c r="Q18" s="19">
        <f>-'Opex'!Q16</f>
        <v/>
      </c>
      <c r="R18" s="19">
        <f>-'Opex'!R16</f>
        <v/>
      </c>
      <c r="S18" s="19">
        <f>-'Opex'!S16</f>
        <v/>
      </c>
      <c r="T18" s="19">
        <f>-'Opex'!T16</f>
        <v/>
      </c>
      <c r="U18" s="19">
        <f>-'Opex'!U16</f>
        <v/>
      </c>
      <c r="V18" s="19">
        <f>-'Opex'!V16</f>
        <v/>
      </c>
      <c r="W18" s="19">
        <f>-'Opex'!W16</f>
        <v/>
      </c>
      <c r="X18" s="19">
        <f>-'Opex'!X16</f>
        <v/>
      </c>
      <c r="Y18" s="19">
        <f>-'Opex'!Y16</f>
        <v/>
      </c>
      <c r="Z18" s="19">
        <f>-'Opex'!Z16</f>
        <v/>
      </c>
      <c r="AA18" s="19">
        <f>-'Opex'!AA16</f>
        <v/>
      </c>
      <c r="AB18" s="19">
        <f>-'Opex'!AB16</f>
        <v/>
      </c>
      <c r="AC18" s="19">
        <f>-'Opex'!AC16</f>
        <v/>
      </c>
      <c r="AD18" s="19">
        <f>-'Opex'!AD16</f>
        <v/>
      </c>
      <c r="AE18" s="19">
        <f>-'Opex'!AE16</f>
        <v/>
      </c>
      <c r="AF18" s="19">
        <f>-'Opex'!AF16</f>
        <v/>
      </c>
      <c r="AG18" s="19">
        <f>-'Opex'!AG16</f>
        <v/>
      </c>
      <c r="AH18" s="19">
        <f>-'Opex'!AH16</f>
        <v/>
      </c>
      <c r="AI18" s="19">
        <f>-'Opex'!AI16</f>
        <v/>
      </c>
      <c r="AJ18" s="19">
        <f>-'Opex'!AJ16</f>
        <v/>
      </c>
      <c r="AK18" s="19">
        <f>-'Opex'!AK16</f>
        <v/>
      </c>
      <c r="AL18" s="19">
        <f>-'Opex'!AL16</f>
        <v/>
      </c>
      <c r="AN18" s="19">
        <f>SUMIF($C$5:$AL$5,AN$5,C18:AL18)</f>
        <v/>
      </c>
      <c r="AO18" s="19">
        <f>SUMIF($C$5:$AL$5,AO$5,C18:AL18)</f>
        <v/>
      </c>
      <c r="AP18" s="19">
        <f>SUMIF($C$5:$AL$5,AP$5,C18:AL18)</f>
        <v/>
      </c>
      <c r="AQ18" s="19">
        <f>SUM(C18:AL18)</f>
        <v/>
      </c>
    </row>
    <row r="19">
      <c r="A19" s="22" t="inlineStr">
        <is>
          <t>Technology</t>
        </is>
      </c>
      <c r="B19" s="4" t="inlineStr"/>
      <c r="C19" s="19">
        <f>-'Opex'!C17</f>
        <v/>
      </c>
      <c r="D19" s="19">
        <f>-'Opex'!D17</f>
        <v/>
      </c>
      <c r="E19" s="19">
        <f>-'Opex'!E17</f>
        <v/>
      </c>
      <c r="F19" s="19">
        <f>-'Opex'!F17</f>
        <v/>
      </c>
      <c r="G19" s="19">
        <f>-'Opex'!G17</f>
        <v/>
      </c>
      <c r="H19" s="19">
        <f>-'Opex'!H17</f>
        <v/>
      </c>
      <c r="I19" s="19">
        <f>-'Opex'!I17</f>
        <v/>
      </c>
      <c r="J19" s="19">
        <f>-'Opex'!J17</f>
        <v/>
      </c>
      <c r="K19" s="19">
        <f>-'Opex'!K17</f>
        <v/>
      </c>
      <c r="L19" s="19">
        <f>-'Opex'!L17</f>
        <v/>
      </c>
      <c r="M19" s="19">
        <f>-'Opex'!M17</f>
        <v/>
      </c>
      <c r="N19" s="19">
        <f>-'Opex'!N17</f>
        <v/>
      </c>
      <c r="O19" s="19">
        <f>-'Opex'!O17</f>
        <v/>
      </c>
      <c r="P19" s="19">
        <f>-'Opex'!P17</f>
        <v/>
      </c>
      <c r="Q19" s="19">
        <f>-'Opex'!Q17</f>
        <v/>
      </c>
      <c r="R19" s="19">
        <f>-'Opex'!R17</f>
        <v/>
      </c>
      <c r="S19" s="19">
        <f>-'Opex'!S17</f>
        <v/>
      </c>
      <c r="T19" s="19">
        <f>-'Opex'!T17</f>
        <v/>
      </c>
      <c r="U19" s="19">
        <f>-'Opex'!U17</f>
        <v/>
      </c>
      <c r="V19" s="19">
        <f>-'Opex'!V17</f>
        <v/>
      </c>
      <c r="W19" s="19">
        <f>-'Opex'!W17</f>
        <v/>
      </c>
      <c r="X19" s="19">
        <f>-'Opex'!X17</f>
        <v/>
      </c>
      <c r="Y19" s="19">
        <f>-'Opex'!Y17</f>
        <v/>
      </c>
      <c r="Z19" s="19">
        <f>-'Opex'!Z17</f>
        <v/>
      </c>
      <c r="AA19" s="19">
        <f>-'Opex'!AA17</f>
        <v/>
      </c>
      <c r="AB19" s="19">
        <f>-'Opex'!AB17</f>
        <v/>
      </c>
      <c r="AC19" s="19">
        <f>-'Opex'!AC17</f>
        <v/>
      </c>
      <c r="AD19" s="19">
        <f>-'Opex'!AD17</f>
        <v/>
      </c>
      <c r="AE19" s="19">
        <f>-'Opex'!AE17</f>
        <v/>
      </c>
      <c r="AF19" s="19">
        <f>-'Opex'!AF17</f>
        <v/>
      </c>
      <c r="AG19" s="19">
        <f>-'Opex'!AG17</f>
        <v/>
      </c>
      <c r="AH19" s="19">
        <f>-'Opex'!AH17</f>
        <v/>
      </c>
      <c r="AI19" s="19">
        <f>-'Opex'!AI17</f>
        <v/>
      </c>
      <c r="AJ19" s="19">
        <f>-'Opex'!AJ17</f>
        <v/>
      </c>
      <c r="AK19" s="19">
        <f>-'Opex'!AK17</f>
        <v/>
      </c>
      <c r="AL19" s="19">
        <f>-'Opex'!AL17</f>
        <v/>
      </c>
      <c r="AN19" s="19">
        <f>SUMIF($C$5:$AL$5,AN$5,C19:AL19)</f>
        <v/>
      </c>
      <c r="AO19" s="19">
        <f>SUMIF($C$5:$AL$5,AO$5,C19:AL19)</f>
        <v/>
      </c>
      <c r="AP19" s="19">
        <f>SUMIF($C$5:$AL$5,AP$5,C19:AL19)</f>
        <v/>
      </c>
      <c r="AQ19" s="19">
        <f>SUM(C19:AL19)</f>
        <v/>
      </c>
    </row>
    <row r="20">
      <c r="A20" s="22" t="inlineStr">
        <is>
          <t>Marketing</t>
        </is>
      </c>
      <c r="B20" s="4" t="inlineStr"/>
      <c r="C20" s="19">
        <f>-'Opex'!C18</f>
        <v/>
      </c>
      <c r="D20" s="19">
        <f>-'Opex'!D18</f>
        <v/>
      </c>
      <c r="E20" s="19">
        <f>-'Opex'!E18</f>
        <v/>
      </c>
      <c r="F20" s="19">
        <f>-'Opex'!F18</f>
        <v/>
      </c>
      <c r="G20" s="19">
        <f>-'Opex'!G18</f>
        <v/>
      </c>
      <c r="H20" s="19">
        <f>-'Opex'!H18</f>
        <v/>
      </c>
      <c r="I20" s="19">
        <f>-'Opex'!I18</f>
        <v/>
      </c>
      <c r="J20" s="19">
        <f>-'Opex'!J18</f>
        <v/>
      </c>
      <c r="K20" s="19">
        <f>-'Opex'!K18</f>
        <v/>
      </c>
      <c r="L20" s="19">
        <f>-'Opex'!L18</f>
        <v/>
      </c>
      <c r="M20" s="19">
        <f>-'Opex'!M18</f>
        <v/>
      </c>
      <c r="N20" s="19">
        <f>-'Opex'!N18</f>
        <v/>
      </c>
      <c r="O20" s="19">
        <f>-'Opex'!O18</f>
        <v/>
      </c>
      <c r="P20" s="19">
        <f>-'Opex'!P18</f>
        <v/>
      </c>
      <c r="Q20" s="19">
        <f>-'Opex'!Q18</f>
        <v/>
      </c>
      <c r="R20" s="19">
        <f>-'Opex'!R18</f>
        <v/>
      </c>
      <c r="S20" s="19">
        <f>-'Opex'!S18</f>
        <v/>
      </c>
      <c r="T20" s="19">
        <f>-'Opex'!T18</f>
        <v/>
      </c>
      <c r="U20" s="19">
        <f>-'Opex'!U18</f>
        <v/>
      </c>
      <c r="V20" s="19">
        <f>-'Opex'!V18</f>
        <v/>
      </c>
      <c r="W20" s="19">
        <f>-'Opex'!W18</f>
        <v/>
      </c>
      <c r="X20" s="19">
        <f>-'Opex'!X18</f>
        <v/>
      </c>
      <c r="Y20" s="19">
        <f>-'Opex'!Y18</f>
        <v/>
      </c>
      <c r="Z20" s="19">
        <f>-'Opex'!Z18</f>
        <v/>
      </c>
      <c r="AA20" s="19">
        <f>-'Opex'!AA18</f>
        <v/>
      </c>
      <c r="AB20" s="19">
        <f>-'Opex'!AB18</f>
        <v/>
      </c>
      <c r="AC20" s="19">
        <f>-'Opex'!AC18</f>
        <v/>
      </c>
      <c r="AD20" s="19">
        <f>-'Opex'!AD18</f>
        <v/>
      </c>
      <c r="AE20" s="19">
        <f>-'Opex'!AE18</f>
        <v/>
      </c>
      <c r="AF20" s="19">
        <f>-'Opex'!AF18</f>
        <v/>
      </c>
      <c r="AG20" s="19">
        <f>-'Opex'!AG18</f>
        <v/>
      </c>
      <c r="AH20" s="19">
        <f>-'Opex'!AH18</f>
        <v/>
      </c>
      <c r="AI20" s="19">
        <f>-'Opex'!AI18</f>
        <v/>
      </c>
      <c r="AJ20" s="19">
        <f>-'Opex'!AJ18</f>
        <v/>
      </c>
      <c r="AK20" s="19">
        <f>-'Opex'!AK18</f>
        <v/>
      </c>
      <c r="AL20" s="19">
        <f>-'Opex'!AL18</f>
        <v/>
      </c>
      <c r="AN20" s="19">
        <f>SUMIF($C$5:$AL$5,AN$5,C20:AL20)</f>
        <v/>
      </c>
      <c r="AO20" s="19">
        <f>SUMIF($C$5:$AL$5,AO$5,C20:AL20)</f>
        <v/>
      </c>
      <c r="AP20" s="19">
        <f>SUMIF($C$5:$AL$5,AP$5,C20:AL20)</f>
        <v/>
      </c>
      <c r="AQ20" s="19">
        <f>SUM(C20:AL20)</f>
        <v/>
      </c>
    </row>
    <row r="21">
      <c r="A21" s="22" t="inlineStr">
        <is>
          <t>Legal</t>
        </is>
      </c>
      <c r="B21" s="4" t="inlineStr"/>
      <c r="C21" s="19">
        <f>-'Opex'!C19</f>
        <v/>
      </c>
      <c r="D21" s="19">
        <f>-'Opex'!D19</f>
        <v/>
      </c>
      <c r="E21" s="19">
        <f>-'Opex'!E19</f>
        <v/>
      </c>
      <c r="F21" s="19">
        <f>-'Opex'!F19</f>
        <v/>
      </c>
      <c r="G21" s="19">
        <f>-'Opex'!G19</f>
        <v/>
      </c>
      <c r="H21" s="19">
        <f>-'Opex'!H19</f>
        <v/>
      </c>
      <c r="I21" s="19">
        <f>-'Opex'!I19</f>
        <v/>
      </c>
      <c r="J21" s="19">
        <f>-'Opex'!J19</f>
        <v/>
      </c>
      <c r="K21" s="19">
        <f>-'Opex'!K19</f>
        <v/>
      </c>
      <c r="L21" s="19">
        <f>-'Opex'!L19</f>
        <v/>
      </c>
      <c r="M21" s="19">
        <f>-'Opex'!M19</f>
        <v/>
      </c>
      <c r="N21" s="19">
        <f>-'Opex'!N19</f>
        <v/>
      </c>
      <c r="O21" s="19">
        <f>-'Opex'!O19</f>
        <v/>
      </c>
      <c r="P21" s="19">
        <f>-'Opex'!P19</f>
        <v/>
      </c>
      <c r="Q21" s="19">
        <f>-'Opex'!Q19</f>
        <v/>
      </c>
      <c r="R21" s="19">
        <f>-'Opex'!R19</f>
        <v/>
      </c>
      <c r="S21" s="19">
        <f>-'Opex'!S19</f>
        <v/>
      </c>
      <c r="T21" s="19">
        <f>-'Opex'!T19</f>
        <v/>
      </c>
      <c r="U21" s="19">
        <f>-'Opex'!U19</f>
        <v/>
      </c>
      <c r="V21" s="19">
        <f>-'Opex'!V19</f>
        <v/>
      </c>
      <c r="W21" s="19">
        <f>-'Opex'!W19</f>
        <v/>
      </c>
      <c r="X21" s="19">
        <f>-'Opex'!X19</f>
        <v/>
      </c>
      <c r="Y21" s="19">
        <f>-'Opex'!Y19</f>
        <v/>
      </c>
      <c r="Z21" s="19">
        <f>-'Opex'!Z19</f>
        <v/>
      </c>
      <c r="AA21" s="19">
        <f>-'Opex'!AA19</f>
        <v/>
      </c>
      <c r="AB21" s="19">
        <f>-'Opex'!AB19</f>
        <v/>
      </c>
      <c r="AC21" s="19">
        <f>-'Opex'!AC19</f>
        <v/>
      </c>
      <c r="AD21" s="19">
        <f>-'Opex'!AD19</f>
        <v/>
      </c>
      <c r="AE21" s="19">
        <f>-'Opex'!AE19</f>
        <v/>
      </c>
      <c r="AF21" s="19">
        <f>-'Opex'!AF19</f>
        <v/>
      </c>
      <c r="AG21" s="19">
        <f>-'Opex'!AG19</f>
        <v/>
      </c>
      <c r="AH21" s="19">
        <f>-'Opex'!AH19</f>
        <v/>
      </c>
      <c r="AI21" s="19">
        <f>-'Opex'!AI19</f>
        <v/>
      </c>
      <c r="AJ21" s="19">
        <f>-'Opex'!AJ19</f>
        <v/>
      </c>
      <c r="AK21" s="19">
        <f>-'Opex'!AK19</f>
        <v/>
      </c>
      <c r="AL21" s="19">
        <f>-'Opex'!AL19</f>
        <v/>
      </c>
      <c r="AN21" s="19">
        <f>SUMIF($C$5:$AL$5,AN$5,C21:AL21)</f>
        <v/>
      </c>
      <c r="AO21" s="19">
        <f>SUMIF($C$5:$AL$5,AO$5,C21:AL21)</f>
        <v/>
      </c>
      <c r="AP21" s="19">
        <f>SUMIF($C$5:$AL$5,AP$5,C21:AL21)</f>
        <v/>
      </c>
      <c r="AQ21" s="19">
        <f>SUM(C21:AL21)</f>
        <v/>
      </c>
    </row>
    <row r="22">
      <c r="A22" s="22" t="inlineStr">
        <is>
          <t>Compliance &amp; regulatory</t>
        </is>
      </c>
      <c r="B22" s="4" t="inlineStr"/>
      <c r="C22" s="19">
        <f>-'Opex'!C20</f>
        <v/>
      </c>
      <c r="D22" s="19">
        <f>-'Opex'!D20</f>
        <v/>
      </c>
      <c r="E22" s="19">
        <f>-'Opex'!E20</f>
        <v/>
      </c>
      <c r="F22" s="19">
        <f>-'Opex'!F20</f>
        <v/>
      </c>
      <c r="G22" s="19">
        <f>-'Opex'!G20</f>
        <v/>
      </c>
      <c r="H22" s="19">
        <f>-'Opex'!H20</f>
        <v/>
      </c>
      <c r="I22" s="19">
        <f>-'Opex'!I20</f>
        <v/>
      </c>
      <c r="J22" s="19">
        <f>-'Opex'!J20</f>
        <v/>
      </c>
      <c r="K22" s="19">
        <f>-'Opex'!K20</f>
        <v/>
      </c>
      <c r="L22" s="19">
        <f>-'Opex'!L20</f>
        <v/>
      </c>
      <c r="M22" s="19">
        <f>-'Opex'!M20</f>
        <v/>
      </c>
      <c r="N22" s="19">
        <f>-'Opex'!N20</f>
        <v/>
      </c>
      <c r="O22" s="19">
        <f>-'Opex'!O20</f>
        <v/>
      </c>
      <c r="P22" s="19">
        <f>-'Opex'!P20</f>
        <v/>
      </c>
      <c r="Q22" s="19">
        <f>-'Opex'!Q20</f>
        <v/>
      </c>
      <c r="R22" s="19">
        <f>-'Opex'!R20</f>
        <v/>
      </c>
      <c r="S22" s="19">
        <f>-'Opex'!S20</f>
        <v/>
      </c>
      <c r="T22" s="19">
        <f>-'Opex'!T20</f>
        <v/>
      </c>
      <c r="U22" s="19">
        <f>-'Opex'!U20</f>
        <v/>
      </c>
      <c r="V22" s="19">
        <f>-'Opex'!V20</f>
        <v/>
      </c>
      <c r="W22" s="19">
        <f>-'Opex'!W20</f>
        <v/>
      </c>
      <c r="X22" s="19">
        <f>-'Opex'!X20</f>
        <v/>
      </c>
      <c r="Y22" s="19">
        <f>-'Opex'!Y20</f>
        <v/>
      </c>
      <c r="Z22" s="19">
        <f>-'Opex'!Z20</f>
        <v/>
      </c>
      <c r="AA22" s="19">
        <f>-'Opex'!AA20</f>
        <v/>
      </c>
      <c r="AB22" s="19">
        <f>-'Opex'!AB20</f>
        <v/>
      </c>
      <c r="AC22" s="19">
        <f>-'Opex'!AC20</f>
        <v/>
      </c>
      <c r="AD22" s="19">
        <f>-'Opex'!AD20</f>
        <v/>
      </c>
      <c r="AE22" s="19">
        <f>-'Opex'!AE20</f>
        <v/>
      </c>
      <c r="AF22" s="19">
        <f>-'Opex'!AF20</f>
        <v/>
      </c>
      <c r="AG22" s="19">
        <f>-'Opex'!AG20</f>
        <v/>
      </c>
      <c r="AH22" s="19">
        <f>-'Opex'!AH20</f>
        <v/>
      </c>
      <c r="AI22" s="19">
        <f>-'Opex'!AI20</f>
        <v/>
      </c>
      <c r="AJ22" s="19">
        <f>-'Opex'!AJ20</f>
        <v/>
      </c>
      <c r="AK22" s="19">
        <f>-'Opex'!AK20</f>
        <v/>
      </c>
      <c r="AL22" s="19">
        <f>-'Opex'!AL20</f>
        <v/>
      </c>
      <c r="AN22" s="19">
        <f>SUMIF($C$5:$AL$5,AN$5,C22:AL22)</f>
        <v/>
      </c>
      <c r="AO22" s="19">
        <f>SUMIF($C$5:$AL$5,AO$5,C22:AL22)</f>
        <v/>
      </c>
      <c r="AP22" s="19">
        <f>SUMIF($C$5:$AL$5,AP$5,C22:AL22)</f>
        <v/>
      </c>
      <c r="AQ22" s="19">
        <f>SUM(C22:AL22)</f>
        <v/>
      </c>
    </row>
    <row r="23">
      <c r="A23" s="22" t="inlineStr">
        <is>
          <t>Insurance</t>
        </is>
      </c>
      <c r="B23" s="4" t="inlineStr"/>
      <c r="C23" s="19">
        <f>-'Opex'!C21</f>
        <v/>
      </c>
      <c r="D23" s="19">
        <f>-'Opex'!D21</f>
        <v/>
      </c>
      <c r="E23" s="19">
        <f>-'Opex'!E21</f>
        <v/>
      </c>
      <c r="F23" s="19">
        <f>-'Opex'!F21</f>
        <v/>
      </c>
      <c r="G23" s="19">
        <f>-'Opex'!G21</f>
        <v/>
      </c>
      <c r="H23" s="19">
        <f>-'Opex'!H21</f>
        <v/>
      </c>
      <c r="I23" s="19">
        <f>-'Opex'!I21</f>
        <v/>
      </c>
      <c r="J23" s="19">
        <f>-'Opex'!J21</f>
        <v/>
      </c>
      <c r="K23" s="19">
        <f>-'Opex'!K21</f>
        <v/>
      </c>
      <c r="L23" s="19">
        <f>-'Opex'!L21</f>
        <v/>
      </c>
      <c r="M23" s="19">
        <f>-'Opex'!M21</f>
        <v/>
      </c>
      <c r="N23" s="19">
        <f>-'Opex'!N21</f>
        <v/>
      </c>
      <c r="O23" s="19">
        <f>-'Opex'!O21</f>
        <v/>
      </c>
      <c r="P23" s="19">
        <f>-'Opex'!P21</f>
        <v/>
      </c>
      <c r="Q23" s="19">
        <f>-'Opex'!Q21</f>
        <v/>
      </c>
      <c r="R23" s="19">
        <f>-'Opex'!R21</f>
        <v/>
      </c>
      <c r="S23" s="19">
        <f>-'Opex'!S21</f>
        <v/>
      </c>
      <c r="T23" s="19">
        <f>-'Opex'!T21</f>
        <v/>
      </c>
      <c r="U23" s="19">
        <f>-'Opex'!U21</f>
        <v/>
      </c>
      <c r="V23" s="19">
        <f>-'Opex'!V21</f>
        <v/>
      </c>
      <c r="W23" s="19">
        <f>-'Opex'!W21</f>
        <v/>
      </c>
      <c r="X23" s="19">
        <f>-'Opex'!X21</f>
        <v/>
      </c>
      <c r="Y23" s="19">
        <f>-'Opex'!Y21</f>
        <v/>
      </c>
      <c r="Z23" s="19">
        <f>-'Opex'!Z21</f>
        <v/>
      </c>
      <c r="AA23" s="19">
        <f>-'Opex'!AA21</f>
        <v/>
      </c>
      <c r="AB23" s="19">
        <f>-'Opex'!AB21</f>
        <v/>
      </c>
      <c r="AC23" s="19">
        <f>-'Opex'!AC21</f>
        <v/>
      </c>
      <c r="AD23" s="19">
        <f>-'Opex'!AD21</f>
        <v/>
      </c>
      <c r="AE23" s="19">
        <f>-'Opex'!AE21</f>
        <v/>
      </c>
      <c r="AF23" s="19">
        <f>-'Opex'!AF21</f>
        <v/>
      </c>
      <c r="AG23" s="19">
        <f>-'Opex'!AG21</f>
        <v/>
      </c>
      <c r="AH23" s="19">
        <f>-'Opex'!AH21</f>
        <v/>
      </c>
      <c r="AI23" s="19">
        <f>-'Opex'!AI21</f>
        <v/>
      </c>
      <c r="AJ23" s="19">
        <f>-'Opex'!AJ21</f>
        <v/>
      </c>
      <c r="AK23" s="19">
        <f>-'Opex'!AK21</f>
        <v/>
      </c>
      <c r="AL23" s="19">
        <f>-'Opex'!AL21</f>
        <v/>
      </c>
      <c r="AN23" s="19">
        <f>SUMIF($C$5:$AL$5,AN$5,C23:AL23)</f>
        <v/>
      </c>
      <c r="AO23" s="19">
        <f>SUMIF($C$5:$AL$5,AO$5,C23:AL23)</f>
        <v/>
      </c>
      <c r="AP23" s="19">
        <f>SUMIF($C$5:$AL$5,AP$5,C23:AL23)</f>
        <v/>
      </c>
      <c r="AQ23" s="19">
        <f>SUM(C23:AL23)</f>
        <v/>
      </c>
    </row>
    <row r="24">
      <c r="A24" s="22" t="inlineStr">
        <is>
          <t>Software subscriptions</t>
        </is>
      </c>
      <c r="B24" s="4" t="inlineStr"/>
      <c r="C24" s="19">
        <f>-'Opex'!C22</f>
        <v/>
      </c>
      <c r="D24" s="19">
        <f>-'Opex'!D22</f>
        <v/>
      </c>
      <c r="E24" s="19">
        <f>-'Opex'!E22</f>
        <v/>
      </c>
      <c r="F24" s="19">
        <f>-'Opex'!F22</f>
        <v/>
      </c>
      <c r="G24" s="19">
        <f>-'Opex'!G22</f>
        <v/>
      </c>
      <c r="H24" s="19">
        <f>-'Opex'!H22</f>
        <v/>
      </c>
      <c r="I24" s="19">
        <f>-'Opex'!I22</f>
        <v/>
      </c>
      <c r="J24" s="19">
        <f>-'Opex'!J22</f>
        <v/>
      </c>
      <c r="K24" s="19">
        <f>-'Opex'!K22</f>
        <v/>
      </c>
      <c r="L24" s="19">
        <f>-'Opex'!L22</f>
        <v/>
      </c>
      <c r="M24" s="19">
        <f>-'Opex'!M22</f>
        <v/>
      </c>
      <c r="N24" s="19">
        <f>-'Opex'!N22</f>
        <v/>
      </c>
      <c r="O24" s="19">
        <f>-'Opex'!O22</f>
        <v/>
      </c>
      <c r="P24" s="19">
        <f>-'Opex'!P22</f>
        <v/>
      </c>
      <c r="Q24" s="19">
        <f>-'Opex'!Q22</f>
        <v/>
      </c>
      <c r="R24" s="19">
        <f>-'Opex'!R22</f>
        <v/>
      </c>
      <c r="S24" s="19">
        <f>-'Opex'!S22</f>
        <v/>
      </c>
      <c r="T24" s="19">
        <f>-'Opex'!T22</f>
        <v/>
      </c>
      <c r="U24" s="19">
        <f>-'Opex'!U22</f>
        <v/>
      </c>
      <c r="V24" s="19">
        <f>-'Opex'!V22</f>
        <v/>
      </c>
      <c r="W24" s="19">
        <f>-'Opex'!W22</f>
        <v/>
      </c>
      <c r="X24" s="19">
        <f>-'Opex'!X22</f>
        <v/>
      </c>
      <c r="Y24" s="19">
        <f>-'Opex'!Y22</f>
        <v/>
      </c>
      <c r="Z24" s="19">
        <f>-'Opex'!Z22</f>
        <v/>
      </c>
      <c r="AA24" s="19">
        <f>-'Opex'!AA22</f>
        <v/>
      </c>
      <c r="AB24" s="19">
        <f>-'Opex'!AB22</f>
        <v/>
      </c>
      <c r="AC24" s="19">
        <f>-'Opex'!AC22</f>
        <v/>
      </c>
      <c r="AD24" s="19">
        <f>-'Opex'!AD22</f>
        <v/>
      </c>
      <c r="AE24" s="19">
        <f>-'Opex'!AE22</f>
        <v/>
      </c>
      <c r="AF24" s="19">
        <f>-'Opex'!AF22</f>
        <v/>
      </c>
      <c r="AG24" s="19">
        <f>-'Opex'!AG22</f>
        <v/>
      </c>
      <c r="AH24" s="19">
        <f>-'Opex'!AH22</f>
        <v/>
      </c>
      <c r="AI24" s="19">
        <f>-'Opex'!AI22</f>
        <v/>
      </c>
      <c r="AJ24" s="19">
        <f>-'Opex'!AJ22</f>
        <v/>
      </c>
      <c r="AK24" s="19">
        <f>-'Opex'!AK22</f>
        <v/>
      </c>
      <c r="AL24" s="19">
        <f>-'Opex'!AL22</f>
        <v/>
      </c>
      <c r="AN24" s="19">
        <f>SUMIF($C$5:$AL$5,AN$5,C24:AL24)</f>
        <v/>
      </c>
      <c r="AO24" s="19">
        <f>SUMIF($C$5:$AL$5,AO$5,C24:AL24)</f>
        <v/>
      </c>
      <c r="AP24" s="19">
        <f>SUMIF($C$5:$AL$5,AP$5,C24:AL24)</f>
        <v/>
      </c>
      <c r="AQ24" s="19">
        <f>SUM(C24:AL24)</f>
        <v/>
      </c>
    </row>
    <row r="25">
      <c r="A25" s="22" t="inlineStr">
        <is>
          <t>Travel</t>
        </is>
      </c>
      <c r="B25" s="4" t="inlineStr"/>
      <c r="C25" s="19">
        <f>-'Opex'!C23</f>
        <v/>
      </c>
      <c r="D25" s="19">
        <f>-'Opex'!D23</f>
        <v/>
      </c>
      <c r="E25" s="19">
        <f>-'Opex'!E23</f>
        <v/>
      </c>
      <c r="F25" s="19">
        <f>-'Opex'!F23</f>
        <v/>
      </c>
      <c r="G25" s="19">
        <f>-'Opex'!G23</f>
        <v/>
      </c>
      <c r="H25" s="19">
        <f>-'Opex'!H23</f>
        <v/>
      </c>
      <c r="I25" s="19">
        <f>-'Opex'!I23</f>
        <v/>
      </c>
      <c r="J25" s="19">
        <f>-'Opex'!J23</f>
        <v/>
      </c>
      <c r="K25" s="19">
        <f>-'Opex'!K23</f>
        <v/>
      </c>
      <c r="L25" s="19">
        <f>-'Opex'!L23</f>
        <v/>
      </c>
      <c r="M25" s="19">
        <f>-'Opex'!M23</f>
        <v/>
      </c>
      <c r="N25" s="19">
        <f>-'Opex'!N23</f>
        <v/>
      </c>
      <c r="O25" s="19">
        <f>-'Opex'!O23</f>
        <v/>
      </c>
      <c r="P25" s="19">
        <f>-'Opex'!P23</f>
        <v/>
      </c>
      <c r="Q25" s="19">
        <f>-'Opex'!Q23</f>
        <v/>
      </c>
      <c r="R25" s="19">
        <f>-'Opex'!R23</f>
        <v/>
      </c>
      <c r="S25" s="19">
        <f>-'Opex'!S23</f>
        <v/>
      </c>
      <c r="T25" s="19">
        <f>-'Opex'!T23</f>
        <v/>
      </c>
      <c r="U25" s="19">
        <f>-'Opex'!U23</f>
        <v/>
      </c>
      <c r="V25" s="19">
        <f>-'Opex'!V23</f>
        <v/>
      </c>
      <c r="W25" s="19">
        <f>-'Opex'!W23</f>
        <v/>
      </c>
      <c r="X25" s="19">
        <f>-'Opex'!X23</f>
        <v/>
      </c>
      <c r="Y25" s="19">
        <f>-'Opex'!Y23</f>
        <v/>
      </c>
      <c r="Z25" s="19">
        <f>-'Opex'!Z23</f>
        <v/>
      </c>
      <c r="AA25" s="19">
        <f>-'Opex'!AA23</f>
        <v/>
      </c>
      <c r="AB25" s="19">
        <f>-'Opex'!AB23</f>
        <v/>
      </c>
      <c r="AC25" s="19">
        <f>-'Opex'!AC23</f>
        <v/>
      </c>
      <c r="AD25" s="19">
        <f>-'Opex'!AD23</f>
        <v/>
      </c>
      <c r="AE25" s="19">
        <f>-'Opex'!AE23</f>
        <v/>
      </c>
      <c r="AF25" s="19">
        <f>-'Opex'!AF23</f>
        <v/>
      </c>
      <c r="AG25" s="19">
        <f>-'Opex'!AG23</f>
        <v/>
      </c>
      <c r="AH25" s="19">
        <f>-'Opex'!AH23</f>
        <v/>
      </c>
      <c r="AI25" s="19">
        <f>-'Opex'!AI23</f>
        <v/>
      </c>
      <c r="AJ25" s="19">
        <f>-'Opex'!AJ23</f>
        <v/>
      </c>
      <c r="AK25" s="19">
        <f>-'Opex'!AK23</f>
        <v/>
      </c>
      <c r="AL25" s="19">
        <f>-'Opex'!AL23</f>
        <v/>
      </c>
      <c r="AN25" s="19">
        <f>SUMIF($C$5:$AL$5,AN$5,C25:AL25)</f>
        <v/>
      </c>
      <c r="AO25" s="19">
        <f>SUMIF($C$5:$AL$5,AO$5,C25:AL25)</f>
        <v/>
      </c>
      <c r="AP25" s="19">
        <f>SUMIF($C$5:$AL$5,AP$5,C25:AL25)</f>
        <v/>
      </c>
      <c r="AQ25" s="19">
        <f>SUM(C25:AL25)</f>
        <v/>
      </c>
    </row>
    <row r="26">
      <c r="A26" s="22" t="inlineStr">
        <is>
          <t>Operations</t>
        </is>
      </c>
      <c r="B26" s="4" t="inlineStr"/>
      <c r="C26" s="19">
        <f>-'Opex'!C24</f>
        <v/>
      </c>
      <c r="D26" s="19">
        <f>-'Opex'!D24</f>
        <v/>
      </c>
      <c r="E26" s="19">
        <f>-'Opex'!E24</f>
        <v/>
      </c>
      <c r="F26" s="19">
        <f>-'Opex'!F24</f>
        <v/>
      </c>
      <c r="G26" s="19">
        <f>-'Opex'!G24</f>
        <v/>
      </c>
      <c r="H26" s="19">
        <f>-'Opex'!H24</f>
        <v/>
      </c>
      <c r="I26" s="19">
        <f>-'Opex'!I24</f>
        <v/>
      </c>
      <c r="J26" s="19">
        <f>-'Opex'!J24</f>
        <v/>
      </c>
      <c r="K26" s="19">
        <f>-'Opex'!K24</f>
        <v/>
      </c>
      <c r="L26" s="19">
        <f>-'Opex'!L24</f>
        <v/>
      </c>
      <c r="M26" s="19">
        <f>-'Opex'!M24</f>
        <v/>
      </c>
      <c r="N26" s="19">
        <f>-'Opex'!N24</f>
        <v/>
      </c>
      <c r="O26" s="19">
        <f>-'Opex'!O24</f>
        <v/>
      </c>
      <c r="P26" s="19">
        <f>-'Opex'!P24</f>
        <v/>
      </c>
      <c r="Q26" s="19">
        <f>-'Opex'!Q24</f>
        <v/>
      </c>
      <c r="R26" s="19">
        <f>-'Opex'!R24</f>
        <v/>
      </c>
      <c r="S26" s="19">
        <f>-'Opex'!S24</f>
        <v/>
      </c>
      <c r="T26" s="19">
        <f>-'Opex'!T24</f>
        <v/>
      </c>
      <c r="U26" s="19">
        <f>-'Opex'!U24</f>
        <v/>
      </c>
      <c r="V26" s="19">
        <f>-'Opex'!V24</f>
        <v/>
      </c>
      <c r="W26" s="19">
        <f>-'Opex'!W24</f>
        <v/>
      </c>
      <c r="X26" s="19">
        <f>-'Opex'!X24</f>
        <v/>
      </c>
      <c r="Y26" s="19">
        <f>-'Opex'!Y24</f>
        <v/>
      </c>
      <c r="Z26" s="19">
        <f>-'Opex'!Z24</f>
        <v/>
      </c>
      <c r="AA26" s="19">
        <f>-'Opex'!AA24</f>
        <v/>
      </c>
      <c r="AB26" s="19">
        <f>-'Opex'!AB24</f>
        <v/>
      </c>
      <c r="AC26" s="19">
        <f>-'Opex'!AC24</f>
        <v/>
      </c>
      <c r="AD26" s="19">
        <f>-'Opex'!AD24</f>
        <v/>
      </c>
      <c r="AE26" s="19">
        <f>-'Opex'!AE24</f>
        <v/>
      </c>
      <c r="AF26" s="19">
        <f>-'Opex'!AF24</f>
        <v/>
      </c>
      <c r="AG26" s="19">
        <f>-'Opex'!AG24</f>
        <v/>
      </c>
      <c r="AH26" s="19">
        <f>-'Opex'!AH24</f>
        <v/>
      </c>
      <c r="AI26" s="19">
        <f>-'Opex'!AI24</f>
        <v/>
      </c>
      <c r="AJ26" s="19">
        <f>-'Opex'!AJ24</f>
        <v/>
      </c>
      <c r="AK26" s="19">
        <f>-'Opex'!AK24</f>
        <v/>
      </c>
      <c r="AL26" s="19">
        <f>-'Opex'!AL24</f>
        <v/>
      </c>
      <c r="AN26" s="19">
        <f>SUMIF($C$5:$AL$5,AN$5,C26:AL26)</f>
        <v/>
      </c>
      <c r="AO26" s="19">
        <f>SUMIF($C$5:$AL$5,AO$5,C26:AL26)</f>
        <v/>
      </c>
      <c r="AP26" s="19">
        <f>SUMIF($C$5:$AL$5,AP$5,C26:AL26)</f>
        <v/>
      </c>
      <c r="AQ26" s="19">
        <f>SUM(C26:AL26)</f>
        <v/>
      </c>
    </row>
    <row r="27">
      <c r="A27" s="22" t="inlineStr">
        <is>
          <t>Accountancy, payroll, company secretarial</t>
        </is>
      </c>
      <c r="B27" s="4" t="inlineStr"/>
      <c r="C27" s="19">
        <f>-'Opex'!C25</f>
        <v/>
      </c>
      <c r="D27" s="19">
        <f>-'Opex'!D25</f>
        <v/>
      </c>
      <c r="E27" s="19">
        <f>-'Opex'!E25</f>
        <v/>
      </c>
      <c r="F27" s="19">
        <f>-'Opex'!F25</f>
        <v/>
      </c>
      <c r="G27" s="19">
        <f>-'Opex'!G25</f>
        <v/>
      </c>
      <c r="H27" s="19">
        <f>-'Opex'!H25</f>
        <v/>
      </c>
      <c r="I27" s="19">
        <f>-'Opex'!I25</f>
        <v/>
      </c>
      <c r="J27" s="19">
        <f>-'Opex'!J25</f>
        <v/>
      </c>
      <c r="K27" s="19">
        <f>-'Opex'!K25</f>
        <v/>
      </c>
      <c r="L27" s="19">
        <f>-'Opex'!L25</f>
        <v/>
      </c>
      <c r="M27" s="19">
        <f>-'Opex'!M25</f>
        <v/>
      </c>
      <c r="N27" s="19">
        <f>-'Opex'!N25</f>
        <v/>
      </c>
      <c r="O27" s="19">
        <f>-'Opex'!O25</f>
        <v/>
      </c>
      <c r="P27" s="19">
        <f>-'Opex'!P25</f>
        <v/>
      </c>
      <c r="Q27" s="19">
        <f>-'Opex'!Q25</f>
        <v/>
      </c>
      <c r="R27" s="19">
        <f>-'Opex'!R25</f>
        <v/>
      </c>
      <c r="S27" s="19">
        <f>-'Opex'!S25</f>
        <v/>
      </c>
      <c r="T27" s="19">
        <f>-'Opex'!T25</f>
        <v/>
      </c>
      <c r="U27" s="19">
        <f>-'Opex'!U25</f>
        <v/>
      </c>
      <c r="V27" s="19">
        <f>-'Opex'!V25</f>
        <v/>
      </c>
      <c r="W27" s="19">
        <f>-'Opex'!W25</f>
        <v/>
      </c>
      <c r="X27" s="19">
        <f>-'Opex'!X25</f>
        <v/>
      </c>
      <c r="Y27" s="19">
        <f>-'Opex'!Y25</f>
        <v/>
      </c>
      <c r="Z27" s="19">
        <f>-'Opex'!Z25</f>
        <v/>
      </c>
      <c r="AA27" s="19">
        <f>-'Opex'!AA25</f>
        <v/>
      </c>
      <c r="AB27" s="19">
        <f>-'Opex'!AB25</f>
        <v/>
      </c>
      <c r="AC27" s="19">
        <f>-'Opex'!AC25</f>
        <v/>
      </c>
      <c r="AD27" s="19">
        <f>-'Opex'!AD25</f>
        <v/>
      </c>
      <c r="AE27" s="19">
        <f>-'Opex'!AE25</f>
        <v/>
      </c>
      <c r="AF27" s="19">
        <f>-'Opex'!AF25</f>
        <v/>
      </c>
      <c r="AG27" s="19">
        <f>-'Opex'!AG25</f>
        <v/>
      </c>
      <c r="AH27" s="19">
        <f>-'Opex'!AH25</f>
        <v/>
      </c>
      <c r="AI27" s="19">
        <f>-'Opex'!AI25</f>
        <v/>
      </c>
      <c r="AJ27" s="19">
        <f>-'Opex'!AJ25</f>
        <v/>
      </c>
      <c r="AK27" s="19">
        <f>-'Opex'!AK25</f>
        <v/>
      </c>
      <c r="AL27" s="19">
        <f>-'Opex'!AL25</f>
        <v/>
      </c>
      <c r="AN27" s="19">
        <f>SUMIF($C$5:$AL$5,AN$5,C27:AL27)</f>
        <v/>
      </c>
      <c r="AO27" s="19">
        <f>SUMIF($C$5:$AL$5,AO$5,C27:AL27)</f>
        <v/>
      </c>
      <c r="AP27" s="19">
        <f>SUMIF($C$5:$AL$5,AP$5,C27:AL27)</f>
        <v/>
      </c>
      <c r="AQ27" s="19">
        <f>SUM(C27:AL27)</f>
        <v/>
      </c>
    </row>
    <row r="28">
      <c r="A28" s="22" t="inlineStr">
        <is>
          <t>Legal &amp; IP set-up (one-off)</t>
        </is>
      </c>
      <c r="B28" s="4" t="inlineStr"/>
      <c r="C28" s="19">
        <f>-'Opex'!C26</f>
        <v/>
      </c>
      <c r="D28" s="19">
        <f>-'Opex'!D26</f>
        <v/>
      </c>
      <c r="E28" s="19">
        <f>-'Opex'!E26</f>
        <v/>
      </c>
      <c r="F28" s="19">
        <f>-'Opex'!F26</f>
        <v/>
      </c>
      <c r="G28" s="19">
        <f>-'Opex'!G26</f>
        <v/>
      </c>
      <c r="H28" s="19">
        <f>-'Opex'!H26</f>
        <v/>
      </c>
      <c r="I28" s="19">
        <f>-'Opex'!I26</f>
        <v/>
      </c>
      <c r="J28" s="19">
        <f>-'Opex'!J26</f>
        <v/>
      </c>
      <c r="K28" s="19">
        <f>-'Opex'!K26</f>
        <v/>
      </c>
      <c r="L28" s="19">
        <f>-'Opex'!L26</f>
        <v/>
      </c>
      <c r="M28" s="19">
        <f>-'Opex'!M26</f>
        <v/>
      </c>
      <c r="N28" s="19">
        <f>-'Opex'!N26</f>
        <v/>
      </c>
      <c r="O28" s="19">
        <f>-'Opex'!O26</f>
        <v/>
      </c>
      <c r="P28" s="19">
        <f>-'Opex'!P26</f>
        <v/>
      </c>
      <c r="Q28" s="19">
        <f>-'Opex'!Q26</f>
        <v/>
      </c>
      <c r="R28" s="19">
        <f>-'Opex'!R26</f>
        <v/>
      </c>
      <c r="S28" s="19">
        <f>-'Opex'!S26</f>
        <v/>
      </c>
      <c r="T28" s="19">
        <f>-'Opex'!T26</f>
        <v/>
      </c>
      <c r="U28" s="19">
        <f>-'Opex'!U26</f>
        <v/>
      </c>
      <c r="V28" s="19">
        <f>-'Opex'!V26</f>
        <v/>
      </c>
      <c r="W28" s="19">
        <f>-'Opex'!W26</f>
        <v/>
      </c>
      <c r="X28" s="19">
        <f>-'Opex'!X26</f>
        <v/>
      </c>
      <c r="Y28" s="19">
        <f>-'Opex'!Y26</f>
        <v/>
      </c>
      <c r="Z28" s="19">
        <f>-'Opex'!Z26</f>
        <v/>
      </c>
      <c r="AA28" s="19">
        <f>-'Opex'!AA26</f>
        <v/>
      </c>
      <c r="AB28" s="19">
        <f>-'Opex'!AB26</f>
        <v/>
      </c>
      <c r="AC28" s="19">
        <f>-'Opex'!AC26</f>
        <v/>
      </c>
      <c r="AD28" s="19">
        <f>-'Opex'!AD26</f>
        <v/>
      </c>
      <c r="AE28" s="19">
        <f>-'Opex'!AE26</f>
        <v/>
      </c>
      <c r="AF28" s="19">
        <f>-'Opex'!AF26</f>
        <v/>
      </c>
      <c r="AG28" s="19">
        <f>-'Opex'!AG26</f>
        <v/>
      </c>
      <c r="AH28" s="19">
        <f>-'Opex'!AH26</f>
        <v/>
      </c>
      <c r="AI28" s="19">
        <f>-'Opex'!AI26</f>
        <v/>
      </c>
      <c r="AJ28" s="19">
        <f>-'Opex'!AJ26</f>
        <v/>
      </c>
      <c r="AK28" s="19">
        <f>-'Opex'!AK26</f>
        <v/>
      </c>
      <c r="AL28" s="19">
        <f>-'Opex'!AL26</f>
        <v/>
      </c>
      <c r="AN28" s="19">
        <f>SUMIF($C$5:$AL$5,AN$5,C28:AL28)</f>
        <v/>
      </c>
      <c r="AO28" s="19">
        <f>SUMIF($C$5:$AL$5,AO$5,C28:AL28)</f>
        <v/>
      </c>
      <c r="AP28" s="19">
        <f>SUMIF($C$5:$AL$5,AP$5,C28:AL28)</f>
        <v/>
      </c>
      <c r="AQ28" s="19">
        <f>SUM(C28:AL28)</f>
        <v/>
      </c>
    </row>
    <row r="29">
      <c r="A29" s="22" t="inlineStr">
        <is>
          <t>E-learning content build</t>
        </is>
      </c>
      <c r="B29" s="4" t="inlineStr"/>
      <c r="C29" s="19">
        <f>-'Opex'!C27</f>
        <v/>
      </c>
      <c r="D29" s="19">
        <f>-'Opex'!D27</f>
        <v/>
      </c>
      <c r="E29" s="19">
        <f>-'Opex'!E27</f>
        <v/>
      </c>
      <c r="F29" s="19">
        <f>-'Opex'!F27</f>
        <v/>
      </c>
      <c r="G29" s="19">
        <f>-'Opex'!G27</f>
        <v/>
      </c>
      <c r="H29" s="19">
        <f>-'Opex'!H27</f>
        <v/>
      </c>
      <c r="I29" s="19">
        <f>-'Opex'!I27</f>
        <v/>
      </c>
      <c r="J29" s="19">
        <f>-'Opex'!J27</f>
        <v/>
      </c>
      <c r="K29" s="19">
        <f>-'Opex'!K27</f>
        <v/>
      </c>
      <c r="L29" s="19">
        <f>-'Opex'!L27</f>
        <v/>
      </c>
      <c r="M29" s="19">
        <f>-'Opex'!M27</f>
        <v/>
      </c>
      <c r="N29" s="19">
        <f>-'Opex'!N27</f>
        <v/>
      </c>
      <c r="O29" s="19">
        <f>-'Opex'!O27</f>
        <v/>
      </c>
      <c r="P29" s="19">
        <f>-'Opex'!P27</f>
        <v/>
      </c>
      <c r="Q29" s="19">
        <f>-'Opex'!Q27</f>
        <v/>
      </c>
      <c r="R29" s="19">
        <f>-'Opex'!R27</f>
        <v/>
      </c>
      <c r="S29" s="19">
        <f>-'Opex'!S27</f>
        <v/>
      </c>
      <c r="T29" s="19">
        <f>-'Opex'!T27</f>
        <v/>
      </c>
      <c r="U29" s="19">
        <f>-'Opex'!U27</f>
        <v/>
      </c>
      <c r="V29" s="19">
        <f>-'Opex'!V27</f>
        <v/>
      </c>
      <c r="W29" s="19">
        <f>-'Opex'!W27</f>
        <v/>
      </c>
      <c r="X29" s="19">
        <f>-'Opex'!X27</f>
        <v/>
      </c>
      <c r="Y29" s="19">
        <f>-'Opex'!Y27</f>
        <v/>
      </c>
      <c r="Z29" s="19">
        <f>-'Opex'!Z27</f>
        <v/>
      </c>
      <c r="AA29" s="19">
        <f>-'Opex'!AA27</f>
        <v/>
      </c>
      <c r="AB29" s="19">
        <f>-'Opex'!AB27</f>
        <v/>
      </c>
      <c r="AC29" s="19">
        <f>-'Opex'!AC27</f>
        <v/>
      </c>
      <c r="AD29" s="19">
        <f>-'Opex'!AD27</f>
        <v/>
      </c>
      <c r="AE29" s="19">
        <f>-'Opex'!AE27</f>
        <v/>
      </c>
      <c r="AF29" s="19">
        <f>-'Opex'!AF27</f>
        <v/>
      </c>
      <c r="AG29" s="19">
        <f>-'Opex'!AG27</f>
        <v/>
      </c>
      <c r="AH29" s="19">
        <f>-'Opex'!AH27</f>
        <v/>
      </c>
      <c r="AI29" s="19">
        <f>-'Opex'!AI27</f>
        <v/>
      </c>
      <c r="AJ29" s="19">
        <f>-'Opex'!AJ27</f>
        <v/>
      </c>
      <c r="AK29" s="19">
        <f>-'Opex'!AK27</f>
        <v/>
      </c>
      <c r="AL29" s="19">
        <f>-'Opex'!AL27</f>
        <v/>
      </c>
      <c r="AN29" s="19">
        <f>SUMIF($C$5:$AL$5,AN$5,C29:AL29)</f>
        <v/>
      </c>
      <c r="AO29" s="19">
        <f>SUMIF($C$5:$AL$5,AO$5,C29:AL29)</f>
        <v/>
      </c>
      <c r="AP29" s="19">
        <f>SUMIF($C$5:$AL$5,AP$5,C29:AL29)</f>
        <v/>
      </c>
      <c r="AQ29" s="19">
        <f>SUM(C29:AL29)</f>
        <v/>
      </c>
    </row>
    <row r="30">
      <c r="A30" s="7" t="inlineStr">
        <is>
          <t>TOTAL OPERATING EXPENSES</t>
        </is>
      </c>
      <c r="B30" s="4" t="inlineStr"/>
      <c r="C30" s="26">
        <f>SUM(C17:C29)</f>
        <v/>
      </c>
      <c r="D30" s="26">
        <f>SUM(D17:D29)</f>
        <v/>
      </c>
      <c r="E30" s="26">
        <f>SUM(E17:E29)</f>
        <v/>
      </c>
      <c r="F30" s="26">
        <f>SUM(F17:F29)</f>
        <v/>
      </c>
      <c r="G30" s="26">
        <f>SUM(G17:G29)</f>
        <v/>
      </c>
      <c r="H30" s="26">
        <f>SUM(H17:H29)</f>
        <v/>
      </c>
      <c r="I30" s="26">
        <f>SUM(I17:I29)</f>
        <v/>
      </c>
      <c r="J30" s="26">
        <f>SUM(J17:J29)</f>
        <v/>
      </c>
      <c r="K30" s="26">
        <f>SUM(K17:K29)</f>
        <v/>
      </c>
      <c r="L30" s="26">
        <f>SUM(L17:L29)</f>
        <v/>
      </c>
      <c r="M30" s="26">
        <f>SUM(M17:M29)</f>
        <v/>
      </c>
      <c r="N30" s="26">
        <f>SUM(N17:N29)</f>
        <v/>
      </c>
      <c r="O30" s="26">
        <f>SUM(O17:O29)</f>
        <v/>
      </c>
      <c r="P30" s="26">
        <f>SUM(P17:P29)</f>
        <v/>
      </c>
      <c r="Q30" s="26">
        <f>SUM(Q17:Q29)</f>
        <v/>
      </c>
      <c r="R30" s="26">
        <f>SUM(R17:R29)</f>
        <v/>
      </c>
      <c r="S30" s="26">
        <f>SUM(S17:S29)</f>
        <v/>
      </c>
      <c r="T30" s="26">
        <f>SUM(T17:T29)</f>
        <v/>
      </c>
      <c r="U30" s="26">
        <f>SUM(U17:U29)</f>
        <v/>
      </c>
      <c r="V30" s="26">
        <f>SUM(V17:V29)</f>
        <v/>
      </c>
      <c r="W30" s="26">
        <f>SUM(W17:W29)</f>
        <v/>
      </c>
      <c r="X30" s="26">
        <f>SUM(X17:X29)</f>
        <v/>
      </c>
      <c r="Y30" s="26">
        <f>SUM(Y17:Y29)</f>
        <v/>
      </c>
      <c r="Z30" s="26">
        <f>SUM(Z17:Z29)</f>
        <v/>
      </c>
      <c r="AA30" s="26">
        <f>SUM(AA17:AA29)</f>
        <v/>
      </c>
      <c r="AB30" s="26">
        <f>SUM(AB17:AB29)</f>
        <v/>
      </c>
      <c r="AC30" s="26">
        <f>SUM(AC17:AC29)</f>
        <v/>
      </c>
      <c r="AD30" s="26">
        <f>SUM(AD17:AD29)</f>
        <v/>
      </c>
      <c r="AE30" s="26">
        <f>SUM(AE17:AE29)</f>
        <v/>
      </c>
      <c r="AF30" s="26">
        <f>SUM(AF17:AF29)</f>
        <v/>
      </c>
      <c r="AG30" s="26">
        <f>SUM(AG17:AG29)</f>
        <v/>
      </c>
      <c r="AH30" s="26">
        <f>SUM(AH17:AH29)</f>
        <v/>
      </c>
      <c r="AI30" s="26">
        <f>SUM(AI17:AI29)</f>
        <v/>
      </c>
      <c r="AJ30" s="26">
        <f>SUM(AJ17:AJ29)</f>
        <v/>
      </c>
      <c r="AK30" s="26">
        <f>SUM(AK17:AK29)</f>
        <v/>
      </c>
      <c r="AL30" s="26">
        <f>SUM(AL17:AL29)</f>
        <v/>
      </c>
      <c r="AN30" s="26">
        <f>SUMIF($C$5:$AL$5,AN$5,C30:AL30)</f>
        <v/>
      </c>
      <c r="AO30" s="26">
        <f>SUMIF($C$5:$AL$5,AO$5,C30:AL30)</f>
        <v/>
      </c>
      <c r="AP30" s="26">
        <f>SUMIF($C$5:$AL$5,AP$5,C30:AL30)</f>
        <v/>
      </c>
      <c r="AQ30" s="26">
        <f>SUM(C30:AL30)</f>
        <v/>
      </c>
    </row>
    <row r="32">
      <c r="A32" s="7" t="inlineStr">
        <is>
          <t>EBITDA / OPERATING RESULT (before grants)</t>
        </is>
      </c>
      <c r="B32" s="4" t="inlineStr"/>
      <c r="C32" s="26">
        <f>'P&amp;L'!C14+'P&amp;L'!C30</f>
        <v/>
      </c>
      <c r="D32" s="26">
        <f>'P&amp;L'!D14+'P&amp;L'!D30</f>
        <v/>
      </c>
      <c r="E32" s="26">
        <f>'P&amp;L'!E14+'P&amp;L'!E30</f>
        <v/>
      </c>
      <c r="F32" s="26">
        <f>'P&amp;L'!F14+'P&amp;L'!F30</f>
        <v/>
      </c>
      <c r="G32" s="26">
        <f>'P&amp;L'!G14+'P&amp;L'!G30</f>
        <v/>
      </c>
      <c r="H32" s="26">
        <f>'P&amp;L'!H14+'P&amp;L'!H30</f>
        <v/>
      </c>
      <c r="I32" s="26">
        <f>'P&amp;L'!I14+'P&amp;L'!I30</f>
        <v/>
      </c>
      <c r="J32" s="26">
        <f>'P&amp;L'!J14+'P&amp;L'!J30</f>
        <v/>
      </c>
      <c r="K32" s="26">
        <f>'P&amp;L'!K14+'P&amp;L'!K30</f>
        <v/>
      </c>
      <c r="L32" s="26">
        <f>'P&amp;L'!L14+'P&amp;L'!L30</f>
        <v/>
      </c>
      <c r="M32" s="26">
        <f>'P&amp;L'!M14+'P&amp;L'!M30</f>
        <v/>
      </c>
      <c r="N32" s="26">
        <f>'P&amp;L'!N14+'P&amp;L'!N30</f>
        <v/>
      </c>
      <c r="O32" s="26">
        <f>'P&amp;L'!O14+'P&amp;L'!O30</f>
        <v/>
      </c>
      <c r="P32" s="26">
        <f>'P&amp;L'!P14+'P&amp;L'!P30</f>
        <v/>
      </c>
      <c r="Q32" s="26">
        <f>'P&amp;L'!Q14+'P&amp;L'!Q30</f>
        <v/>
      </c>
      <c r="R32" s="26">
        <f>'P&amp;L'!R14+'P&amp;L'!R30</f>
        <v/>
      </c>
      <c r="S32" s="26">
        <f>'P&amp;L'!S14+'P&amp;L'!S30</f>
        <v/>
      </c>
      <c r="T32" s="26">
        <f>'P&amp;L'!T14+'P&amp;L'!T30</f>
        <v/>
      </c>
      <c r="U32" s="26">
        <f>'P&amp;L'!U14+'P&amp;L'!U30</f>
        <v/>
      </c>
      <c r="V32" s="26">
        <f>'P&amp;L'!V14+'P&amp;L'!V30</f>
        <v/>
      </c>
      <c r="W32" s="26">
        <f>'P&amp;L'!W14+'P&amp;L'!W30</f>
        <v/>
      </c>
      <c r="X32" s="26">
        <f>'P&amp;L'!X14+'P&amp;L'!X30</f>
        <v/>
      </c>
      <c r="Y32" s="26">
        <f>'P&amp;L'!Y14+'P&amp;L'!Y30</f>
        <v/>
      </c>
      <c r="Z32" s="26">
        <f>'P&amp;L'!Z14+'P&amp;L'!Z30</f>
        <v/>
      </c>
      <c r="AA32" s="26">
        <f>'P&amp;L'!AA14+'P&amp;L'!AA30</f>
        <v/>
      </c>
      <c r="AB32" s="26">
        <f>'P&amp;L'!AB14+'P&amp;L'!AB30</f>
        <v/>
      </c>
      <c r="AC32" s="26">
        <f>'P&amp;L'!AC14+'P&amp;L'!AC30</f>
        <v/>
      </c>
      <c r="AD32" s="26">
        <f>'P&amp;L'!AD14+'P&amp;L'!AD30</f>
        <v/>
      </c>
      <c r="AE32" s="26">
        <f>'P&amp;L'!AE14+'P&amp;L'!AE30</f>
        <v/>
      </c>
      <c r="AF32" s="26">
        <f>'P&amp;L'!AF14+'P&amp;L'!AF30</f>
        <v/>
      </c>
      <c r="AG32" s="26">
        <f>'P&amp;L'!AG14+'P&amp;L'!AG30</f>
        <v/>
      </c>
      <c r="AH32" s="26">
        <f>'P&amp;L'!AH14+'P&amp;L'!AH30</f>
        <v/>
      </c>
      <c r="AI32" s="26">
        <f>'P&amp;L'!AI14+'P&amp;L'!AI30</f>
        <v/>
      </c>
      <c r="AJ32" s="26">
        <f>'P&amp;L'!AJ14+'P&amp;L'!AJ30</f>
        <v/>
      </c>
      <c r="AK32" s="26">
        <f>'P&amp;L'!AK14+'P&amp;L'!AK30</f>
        <v/>
      </c>
      <c r="AL32" s="26">
        <f>'P&amp;L'!AL14+'P&amp;L'!AL30</f>
        <v/>
      </c>
      <c r="AN32" s="26">
        <f>SUMIF($C$5:$AL$5,AN$5,C32:AL32)</f>
        <v/>
      </c>
      <c r="AO32" s="26">
        <f>SUMIF($C$5:$AL$5,AO$5,C32:AL32)</f>
        <v/>
      </c>
      <c r="AP32" s="26">
        <f>SUMIF($C$5:$AL$5,AP$5,C32:AL32)</f>
        <v/>
      </c>
      <c r="AQ32" s="26">
        <f>SUM(C32:AL32)</f>
        <v/>
      </c>
    </row>
    <row r="33">
      <c r="A33" s="22" t="inlineStr">
        <is>
          <t>EBITDA positive (1/0)</t>
        </is>
      </c>
      <c r="B33" s="4" t="inlineStr"/>
      <c r="C33" s="27">
        <f>IF('P&amp;L'!C32&gt;0,1,0)</f>
        <v/>
      </c>
      <c r="D33" s="27">
        <f>IF('P&amp;L'!D32&gt;0,1,0)</f>
        <v/>
      </c>
      <c r="E33" s="27">
        <f>IF('P&amp;L'!E32&gt;0,1,0)</f>
        <v/>
      </c>
      <c r="F33" s="27">
        <f>IF('P&amp;L'!F32&gt;0,1,0)</f>
        <v/>
      </c>
      <c r="G33" s="27">
        <f>IF('P&amp;L'!G32&gt;0,1,0)</f>
        <v/>
      </c>
      <c r="H33" s="27">
        <f>IF('P&amp;L'!H32&gt;0,1,0)</f>
        <v/>
      </c>
      <c r="I33" s="27">
        <f>IF('P&amp;L'!I32&gt;0,1,0)</f>
        <v/>
      </c>
      <c r="J33" s="27">
        <f>IF('P&amp;L'!J32&gt;0,1,0)</f>
        <v/>
      </c>
      <c r="K33" s="27">
        <f>IF('P&amp;L'!K32&gt;0,1,0)</f>
        <v/>
      </c>
      <c r="L33" s="27">
        <f>IF('P&amp;L'!L32&gt;0,1,0)</f>
        <v/>
      </c>
      <c r="M33" s="27">
        <f>IF('P&amp;L'!M32&gt;0,1,0)</f>
        <v/>
      </c>
      <c r="N33" s="27">
        <f>IF('P&amp;L'!N32&gt;0,1,0)</f>
        <v/>
      </c>
      <c r="O33" s="27">
        <f>IF('P&amp;L'!O32&gt;0,1,0)</f>
        <v/>
      </c>
      <c r="P33" s="27">
        <f>IF('P&amp;L'!P32&gt;0,1,0)</f>
        <v/>
      </c>
      <c r="Q33" s="27">
        <f>IF('P&amp;L'!Q32&gt;0,1,0)</f>
        <v/>
      </c>
      <c r="R33" s="27">
        <f>IF('P&amp;L'!R32&gt;0,1,0)</f>
        <v/>
      </c>
      <c r="S33" s="27">
        <f>IF('P&amp;L'!S32&gt;0,1,0)</f>
        <v/>
      </c>
      <c r="T33" s="27">
        <f>IF('P&amp;L'!T32&gt;0,1,0)</f>
        <v/>
      </c>
      <c r="U33" s="27">
        <f>IF('P&amp;L'!U32&gt;0,1,0)</f>
        <v/>
      </c>
      <c r="V33" s="27">
        <f>IF('P&amp;L'!V32&gt;0,1,0)</f>
        <v/>
      </c>
      <c r="W33" s="27">
        <f>IF('P&amp;L'!W32&gt;0,1,0)</f>
        <v/>
      </c>
      <c r="X33" s="27">
        <f>IF('P&amp;L'!X32&gt;0,1,0)</f>
        <v/>
      </c>
      <c r="Y33" s="27">
        <f>IF('P&amp;L'!Y32&gt;0,1,0)</f>
        <v/>
      </c>
      <c r="Z33" s="27">
        <f>IF('P&amp;L'!Z32&gt;0,1,0)</f>
        <v/>
      </c>
      <c r="AA33" s="27">
        <f>IF('P&amp;L'!AA32&gt;0,1,0)</f>
        <v/>
      </c>
      <c r="AB33" s="27">
        <f>IF('P&amp;L'!AB32&gt;0,1,0)</f>
        <v/>
      </c>
      <c r="AC33" s="27">
        <f>IF('P&amp;L'!AC32&gt;0,1,0)</f>
        <v/>
      </c>
      <c r="AD33" s="27">
        <f>IF('P&amp;L'!AD32&gt;0,1,0)</f>
        <v/>
      </c>
      <c r="AE33" s="27">
        <f>IF('P&amp;L'!AE32&gt;0,1,0)</f>
        <v/>
      </c>
      <c r="AF33" s="27">
        <f>IF('P&amp;L'!AF32&gt;0,1,0)</f>
        <v/>
      </c>
      <c r="AG33" s="27">
        <f>IF('P&amp;L'!AG32&gt;0,1,0)</f>
        <v/>
      </c>
      <c r="AH33" s="27">
        <f>IF('P&amp;L'!AH32&gt;0,1,0)</f>
        <v/>
      </c>
      <c r="AI33" s="27">
        <f>IF('P&amp;L'!AI32&gt;0,1,0)</f>
        <v/>
      </c>
      <c r="AJ33" s="27">
        <f>IF('P&amp;L'!AJ32&gt;0,1,0)</f>
        <v/>
      </c>
      <c r="AK33" s="27">
        <f>IF('P&amp;L'!AK32&gt;0,1,0)</f>
        <v/>
      </c>
      <c r="AL33" s="27">
        <f>IF('P&amp;L'!AL32&gt;0,1,0)</f>
        <v/>
      </c>
    </row>
    <row r="34">
      <c r="A34" s="22" t="inlineStr">
        <is>
          <t>EBITDA positive from this month to month 36 (1/0) — sustained break-even</t>
        </is>
      </c>
      <c r="B34" s="4" t="inlineStr"/>
      <c r="C34" s="27">
        <f>IF(MIN(C32:AL32)&gt;0,1,0)</f>
        <v/>
      </c>
      <c r="D34" s="27">
        <f>IF(MIN(D32:AL32)&gt;0,1,0)</f>
        <v/>
      </c>
      <c r="E34" s="27">
        <f>IF(MIN(E32:AL32)&gt;0,1,0)</f>
        <v/>
      </c>
      <c r="F34" s="27">
        <f>IF(MIN(F32:AL32)&gt;0,1,0)</f>
        <v/>
      </c>
      <c r="G34" s="27">
        <f>IF(MIN(G32:AL32)&gt;0,1,0)</f>
        <v/>
      </c>
      <c r="H34" s="27">
        <f>IF(MIN(H32:AL32)&gt;0,1,0)</f>
        <v/>
      </c>
      <c r="I34" s="27">
        <f>IF(MIN(I32:AL32)&gt;0,1,0)</f>
        <v/>
      </c>
      <c r="J34" s="27">
        <f>IF(MIN(J32:AL32)&gt;0,1,0)</f>
        <v/>
      </c>
      <c r="K34" s="27">
        <f>IF(MIN(K32:AL32)&gt;0,1,0)</f>
        <v/>
      </c>
      <c r="L34" s="27">
        <f>IF(MIN(L32:AL32)&gt;0,1,0)</f>
        <v/>
      </c>
      <c r="M34" s="27">
        <f>IF(MIN(M32:AL32)&gt;0,1,0)</f>
        <v/>
      </c>
      <c r="N34" s="27">
        <f>IF(MIN(N32:AL32)&gt;0,1,0)</f>
        <v/>
      </c>
      <c r="O34" s="27">
        <f>IF(MIN(O32:AL32)&gt;0,1,0)</f>
        <v/>
      </c>
      <c r="P34" s="27">
        <f>IF(MIN(P32:AL32)&gt;0,1,0)</f>
        <v/>
      </c>
      <c r="Q34" s="27">
        <f>IF(MIN(Q32:AL32)&gt;0,1,0)</f>
        <v/>
      </c>
      <c r="R34" s="27">
        <f>IF(MIN(R32:AL32)&gt;0,1,0)</f>
        <v/>
      </c>
      <c r="S34" s="27">
        <f>IF(MIN(S32:AL32)&gt;0,1,0)</f>
        <v/>
      </c>
      <c r="T34" s="27">
        <f>IF(MIN(T32:AL32)&gt;0,1,0)</f>
        <v/>
      </c>
      <c r="U34" s="27">
        <f>IF(MIN(U32:AL32)&gt;0,1,0)</f>
        <v/>
      </c>
      <c r="V34" s="27">
        <f>IF(MIN(V32:AL32)&gt;0,1,0)</f>
        <v/>
      </c>
      <c r="W34" s="27">
        <f>IF(MIN(W32:AL32)&gt;0,1,0)</f>
        <v/>
      </c>
      <c r="X34" s="27">
        <f>IF(MIN(X32:AL32)&gt;0,1,0)</f>
        <v/>
      </c>
      <c r="Y34" s="27">
        <f>IF(MIN(Y32:AL32)&gt;0,1,0)</f>
        <v/>
      </c>
      <c r="Z34" s="27">
        <f>IF(MIN(Z32:AL32)&gt;0,1,0)</f>
        <v/>
      </c>
      <c r="AA34" s="27">
        <f>IF(MIN(AA32:AL32)&gt;0,1,0)</f>
        <v/>
      </c>
      <c r="AB34" s="27">
        <f>IF(MIN(AB32:AL32)&gt;0,1,0)</f>
        <v/>
      </c>
      <c r="AC34" s="27">
        <f>IF(MIN(AC32:AL32)&gt;0,1,0)</f>
        <v/>
      </c>
      <c r="AD34" s="27">
        <f>IF(MIN(AD32:AL32)&gt;0,1,0)</f>
        <v/>
      </c>
      <c r="AE34" s="27">
        <f>IF(MIN(AE32:AL32)&gt;0,1,0)</f>
        <v/>
      </c>
      <c r="AF34" s="27">
        <f>IF(MIN(AF32:AL32)&gt;0,1,0)</f>
        <v/>
      </c>
      <c r="AG34" s="27">
        <f>IF(MIN(AG32:AL32)&gt;0,1,0)</f>
        <v/>
      </c>
      <c r="AH34" s="27">
        <f>IF(MIN(AH32:AL32)&gt;0,1,0)</f>
        <v/>
      </c>
      <c r="AI34" s="27">
        <f>IF(MIN(AI32:AL32)&gt;0,1,0)</f>
        <v/>
      </c>
      <c r="AJ34" s="27">
        <f>IF(MIN(AJ32:AL32)&gt;0,1,0)</f>
        <v/>
      </c>
      <c r="AK34" s="27">
        <f>IF(MIN(AK32:AL32)&gt;0,1,0)</f>
        <v/>
      </c>
      <c r="AL34" s="27">
        <f>IF(MIN(AL32:AL32)&gt;0,1,0)</f>
        <v/>
      </c>
    </row>
    <row r="35">
      <c r="A35" s="22" t="inlineStr">
        <is>
          <t>Grant income (other income; TO VALIDATE)</t>
        </is>
      </c>
      <c r="B35" s="4" t="inlineStr"/>
      <c r="C35" s="19">
        <f>'Cash flow'!C18</f>
        <v/>
      </c>
      <c r="D35" s="19">
        <f>'Cash flow'!D18</f>
        <v/>
      </c>
      <c r="E35" s="19">
        <f>'Cash flow'!E18</f>
        <v/>
      </c>
      <c r="F35" s="19">
        <f>'Cash flow'!F18</f>
        <v/>
      </c>
      <c r="G35" s="19">
        <f>'Cash flow'!G18</f>
        <v/>
      </c>
      <c r="H35" s="19">
        <f>'Cash flow'!H18</f>
        <v/>
      </c>
      <c r="I35" s="19">
        <f>'Cash flow'!I18</f>
        <v/>
      </c>
      <c r="J35" s="19">
        <f>'Cash flow'!J18</f>
        <v/>
      </c>
      <c r="K35" s="19">
        <f>'Cash flow'!K18</f>
        <v/>
      </c>
      <c r="L35" s="19">
        <f>'Cash flow'!L18</f>
        <v/>
      </c>
      <c r="M35" s="19">
        <f>'Cash flow'!M18</f>
        <v/>
      </c>
      <c r="N35" s="19">
        <f>'Cash flow'!N18</f>
        <v/>
      </c>
      <c r="O35" s="19">
        <f>'Cash flow'!O18</f>
        <v/>
      </c>
      <c r="P35" s="19">
        <f>'Cash flow'!P18</f>
        <v/>
      </c>
      <c r="Q35" s="19">
        <f>'Cash flow'!Q18</f>
        <v/>
      </c>
      <c r="R35" s="19">
        <f>'Cash flow'!R18</f>
        <v/>
      </c>
      <c r="S35" s="19">
        <f>'Cash flow'!S18</f>
        <v/>
      </c>
      <c r="T35" s="19">
        <f>'Cash flow'!T18</f>
        <v/>
      </c>
      <c r="U35" s="19">
        <f>'Cash flow'!U18</f>
        <v/>
      </c>
      <c r="V35" s="19">
        <f>'Cash flow'!V18</f>
        <v/>
      </c>
      <c r="W35" s="19">
        <f>'Cash flow'!W18</f>
        <v/>
      </c>
      <c r="X35" s="19">
        <f>'Cash flow'!X18</f>
        <v/>
      </c>
      <c r="Y35" s="19">
        <f>'Cash flow'!Y18</f>
        <v/>
      </c>
      <c r="Z35" s="19">
        <f>'Cash flow'!Z18</f>
        <v/>
      </c>
      <c r="AA35" s="19">
        <f>'Cash flow'!AA18</f>
        <v/>
      </c>
      <c r="AB35" s="19">
        <f>'Cash flow'!AB18</f>
        <v/>
      </c>
      <c r="AC35" s="19">
        <f>'Cash flow'!AC18</f>
        <v/>
      </c>
      <c r="AD35" s="19">
        <f>'Cash flow'!AD18</f>
        <v/>
      </c>
      <c r="AE35" s="19">
        <f>'Cash flow'!AE18</f>
        <v/>
      </c>
      <c r="AF35" s="19">
        <f>'Cash flow'!AF18</f>
        <v/>
      </c>
      <c r="AG35" s="19">
        <f>'Cash flow'!AG18</f>
        <v/>
      </c>
      <c r="AH35" s="19">
        <f>'Cash flow'!AH18</f>
        <v/>
      </c>
      <c r="AI35" s="19">
        <f>'Cash flow'!AI18</f>
        <v/>
      </c>
      <c r="AJ35" s="19">
        <f>'Cash flow'!AJ18</f>
        <v/>
      </c>
      <c r="AK35" s="19">
        <f>'Cash flow'!AK18</f>
        <v/>
      </c>
      <c r="AL35" s="19">
        <f>'Cash flow'!AL18</f>
        <v/>
      </c>
      <c r="AN35" s="19">
        <f>SUMIF($C$5:$AL$5,AN$5,C35:AL35)</f>
        <v/>
      </c>
      <c r="AO35" s="19">
        <f>SUMIF($C$5:$AL$5,AO$5,C35:AL35)</f>
        <v/>
      </c>
      <c r="AP35" s="19">
        <f>SUMIF($C$5:$AL$5,AP$5,C35:AL35)</f>
        <v/>
      </c>
      <c r="AQ35" s="19">
        <f>SUM(C35:AL35)</f>
        <v/>
      </c>
    </row>
    <row r="36">
      <c r="A36" s="7" t="inlineStr">
        <is>
          <t>NET RESULT BEFORE TAX</t>
        </is>
      </c>
      <c r="B36" s="4" t="inlineStr"/>
      <c r="C36" s="26">
        <f>'P&amp;L'!C32+'P&amp;L'!C35</f>
        <v/>
      </c>
      <c r="D36" s="26">
        <f>'P&amp;L'!D32+'P&amp;L'!D35</f>
        <v/>
      </c>
      <c r="E36" s="26">
        <f>'P&amp;L'!E32+'P&amp;L'!E35</f>
        <v/>
      </c>
      <c r="F36" s="26">
        <f>'P&amp;L'!F32+'P&amp;L'!F35</f>
        <v/>
      </c>
      <c r="G36" s="26">
        <f>'P&amp;L'!G32+'P&amp;L'!G35</f>
        <v/>
      </c>
      <c r="H36" s="26">
        <f>'P&amp;L'!H32+'P&amp;L'!H35</f>
        <v/>
      </c>
      <c r="I36" s="26">
        <f>'P&amp;L'!I32+'P&amp;L'!I35</f>
        <v/>
      </c>
      <c r="J36" s="26">
        <f>'P&amp;L'!J32+'P&amp;L'!J35</f>
        <v/>
      </c>
      <c r="K36" s="26">
        <f>'P&amp;L'!K32+'P&amp;L'!K35</f>
        <v/>
      </c>
      <c r="L36" s="26">
        <f>'P&amp;L'!L32+'P&amp;L'!L35</f>
        <v/>
      </c>
      <c r="M36" s="26">
        <f>'P&amp;L'!M32+'P&amp;L'!M35</f>
        <v/>
      </c>
      <c r="N36" s="26">
        <f>'P&amp;L'!N32+'P&amp;L'!N35</f>
        <v/>
      </c>
      <c r="O36" s="26">
        <f>'P&amp;L'!O32+'P&amp;L'!O35</f>
        <v/>
      </c>
      <c r="P36" s="26">
        <f>'P&amp;L'!P32+'P&amp;L'!P35</f>
        <v/>
      </c>
      <c r="Q36" s="26">
        <f>'P&amp;L'!Q32+'P&amp;L'!Q35</f>
        <v/>
      </c>
      <c r="R36" s="26">
        <f>'P&amp;L'!R32+'P&amp;L'!R35</f>
        <v/>
      </c>
      <c r="S36" s="26">
        <f>'P&amp;L'!S32+'P&amp;L'!S35</f>
        <v/>
      </c>
      <c r="T36" s="26">
        <f>'P&amp;L'!T32+'P&amp;L'!T35</f>
        <v/>
      </c>
      <c r="U36" s="26">
        <f>'P&amp;L'!U32+'P&amp;L'!U35</f>
        <v/>
      </c>
      <c r="V36" s="26">
        <f>'P&amp;L'!V32+'P&amp;L'!V35</f>
        <v/>
      </c>
      <c r="W36" s="26">
        <f>'P&amp;L'!W32+'P&amp;L'!W35</f>
        <v/>
      </c>
      <c r="X36" s="26">
        <f>'P&amp;L'!X32+'P&amp;L'!X35</f>
        <v/>
      </c>
      <c r="Y36" s="26">
        <f>'P&amp;L'!Y32+'P&amp;L'!Y35</f>
        <v/>
      </c>
      <c r="Z36" s="26">
        <f>'P&amp;L'!Z32+'P&amp;L'!Z35</f>
        <v/>
      </c>
      <c r="AA36" s="26">
        <f>'P&amp;L'!AA32+'P&amp;L'!AA35</f>
        <v/>
      </c>
      <c r="AB36" s="26">
        <f>'P&amp;L'!AB32+'P&amp;L'!AB35</f>
        <v/>
      </c>
      <c r="AC36" s="26">
        <f>'P&amp;L'!AC32+'P&amp;L'!AC35</f>
        <v/>
      </c>
      <c r="AD36" s="26">
        <f>'P&amp;L'!AD32+'P&amp;L'!AD35</f>
        <v/>
      </c>
      <c r="AE36" s="26">
        <f>'P&amp;L'!AE32+'P&amp;L'!AE35</f>
        <v/>
      </c>
      <c r="AF36" s="26">
        <f>'P&amp;L'!AF32+'P&amp;L'!AF35</f>
        <v/>
      </c>
      <c r="AG36" s="26">
        <f>'P&amp;L'!AG32+'P&amp;L'!AG35</f>
        <v/>
      </c>
      <c r="AH36" s="26">
        <f>'P&amp;L'!AH32+'P&amp;L'!AH35</f>
        <v/>
      </c>
      <c r="AI36" s="26">
        <f>'P&amp;L'!AI32+'P&amp;L'!AI35</f>
        <v/>
      </c>
      <c r="AJ36" s="26">
        <f>'P&amp;L'!AJ32+'P&amp;L'!AJ35</f>
        <v/>
      </c>
      <c r="AK36" s="26">
        <f>'P&amp;L'!AK32+'P&amp;L'!AK35</f>
        <v/>
      </c>
      <c r="AL36" s="26">
        <f>'P&amp;L'!AL32+'P&amp;L'!AL35</f>
        <v/>
      </c>
      <c r="AN36" s="26">
        <f>SUMIF($C$5:$AL$5,AN$5,C36:AL36)</f>
        <v/>
      </c>
      <c r="AO36" s="26">
        <f>SUMIF($C$5:$AL$5,AO$5,C36:AL36)</f>
        <v/>
      </c>
      <c r="AP36" s="26">
        <f>SUMIF($C$5:$AL$5,AP$5,C36:AL36)</f>
        <v/>
      </c>
      <c r="AQ36" s="26">
        <f>SUM(C36:AL36)</f>
        <v/>
      </c>
    </row>
    <row r="37">
      <c r="A37" s="22" t="inlineStr">
        <is>
          <t>Cumulative net result</t>
        </is>
      </c>
      <c r="B37" s="4" t="inlineStr"/>
      <c r="C37" s="19">
        <f>'P&amp;L'!C36</f>
        <v/>
      </c>
      <c r="D37" s="19">
        <f>'P&amp;L'!C37+'P&amp;L'!D36</f>
        <v/>
      </c>
      <c r="E37" s="19">
        <f>'P&amp;L'!D37+'P&amp;L'!E36</f>
        <v/>
      </c>
      <c r="F37" s="19">
        <f>'P&amp;L'!E37+'P&amp;L'!F36</f>
        <v/>
      </c>
      <c r="G37" s="19">
        <f>'P&amp;L'!F37+'P&amp;L'!G36</f>
        <v/>
      </c>
      <c r="H37" s="19">
        <f>'P&amp;L'!G37+'P&amp;L'!H36</f>
        <v/>
      </c>
      <c r="I37" s="19">
        <f>'P&amp;L'!H37+'P&amp;L'!I36</f>
        <v/>
      </c>
      <c r="J37" s="19">
        <f>'P&amp;L'!I37+'P&amp;L'!J36</f>
        <v/>
      </c>
      <c r="K37" s="19">
        <f>'P&amp;L'!J37+'P&amp;L'!K36</f>
        <v/>
      </c>
      <c r="L37" s="19">
        <f>'P&amp;L'!K37+'P&amp;L'!L36</f>
        <v/>
      </c>
      <c r="M37" s="19">
        <f>'P&amp;L'!L37+'P&amp;L'!M36</f>
        <v/>
      </c>
      <c r="N37" s="19">
        <f>'P&amp;L'!M37+'P&amp;L'!N36</f>
        <v/>
      </c>
      <c r="O37" s="19">
        <f>'P&amp;L'!N37+'P&amp;L'!O36</f>
        <v/>
      </c>
      <c r="P37" s="19">
        <f>'P&amp;L'!O37+'P&amp;L'!P36</f>
        <v/>
      </c>
      <c r="Q37" s="19">
        <f>'P&amp;L'!P37+'P&amp;L'!Q36</f>
        <v/>
      </c>
      <c r="R37" s="19">
        <f>'P&amp;L'!Q37+'P&amp;L'!R36</f>
        <v/>
      </c>
      <c r="S37" s="19">
        <f>'P&amp;L'!R37+'P&amp;L'!S36</f>
        <v/>
      </c>
      <c r="T37" s="19">
        <f>'P&amp;L'!S37+'P&amp;L'!T36</f>
        <v/>
      </c>
      <c r="U37" s="19">
        <f>'P&amp;L'!T37+'P&amp;L'!U36</f>
        <v/>
      </c>
      <c r="V37" s="19">
        <f>'P&amp;L'!U37+'P&amp;L'!V36</f>
        <v/>
      </c>
      <c r="W37" s="19">
        <f>'P&amp;L'!V37+'P&amp;L'!W36</f>
        <v/>
      </c>
      <c r="X37" s="19">
        <f>'P&amp;L'!W37+'P&amp;L'!X36</f>
        <v/>
      </c>
      <c r="Y37" s="19">
        <f>'P&amp;L'!X37+'P&amp;L'!Y36</f>
        <v/>
      </c>
      <c r="Z37" s="19">
        <f>'P&amp;L'!Y37+'P&amp;L'!Z36</f>
        <v/>
      </c>
      <c r="AA37" s="19">
        <f>'P&amp;L'!Z37+'P&amp;L'!AA36</f>
        <v/>
      </c>
      <c r="AB37" s="19">
        <f>'P&amp;L'!AA37+'P&amp;L'!AB36</f>
        <v/>
      </c>
      <c r="AC37" s="19">
        <f>'P&amp;L'!AB37+'P&amp;L'!AC36</f>
        <v/>
      </c>
      <c r="AD37" s="19">
        <f>'P&amp;L'!AC37+'P&amp;L'!AD36</f>
        <v/>
      </c>
      <c r="AE37" s="19">
        <f>'P&amp;L'!AD37+'P&amp;L'!AE36</f>
        <v/>
      </c>
      <c r="AF37" s="19">
        <f>'P&amp;L'!AE37+'P&amp;L'!AF36</f>
        <v/>
      </c>
      <c r="AG37" s="19">
        <f>'P&amp;L'!AF37+'P&amp;L'!AG36</f>
        <v/>
      </c>
      <c r="AH37" s="19">
        <f>'P&amp;L'!AG37+'P&amp;L'!AH36</f>
        <v/>
      </c>
      <c r="AI37" s="19">
        <f>'P&amp;L'!AH37+'P&amp;L'!AI36</f>
        <v/>
      </c>
      <c r="AJ37" s="19">
        <f>'P&amp;L'!AI37+'P&amp;L'!AJ36</f>
        <v/>
      </c>
      <c r="AK37" s="19">
        <f>'P&amp;L'!AJ37+'P&amp;L'!AK36</f>
        <v/>
      </c>
      <c r="AL37" s="19">
        <f>'P&amp;L'!AK37+'P&amp;L'!AL36</f>
        <v/>
      </c>
      <c r="AN37" s="19">
        <f>INDEX(C37:AL37,1,12)</f>
        <v/>
      </c>
      <c r="AO37" s="19">
        <f>INDEX(C37:AL37,1,24)</f>
        <v/>
      </c>
      <c r="AP37" s="19">
        <f>INDEX(C37:AL37,1,36)</f>
        <v/>
      </c>
      <c r="AQ37" s="19">
        <f>INDEX(C37:AL37,1,36)</f>
        <v/>
      </c>
    </row>
    <row r="38">
      <c r="A38" s="22" t="inlineStr">
        <is>
          <t>Cumulative result positive (1/0)</t>
        </is>
      </c>
      <c r="B38" s="4" t="inlineStr"/>
      <c r="C38" s="27">
        <f>IF('P&amp;L'!C37&gt;0,1,0)</f>
        <v/>
      </c>
      <c r="D38" s="27">
        <f>IF('P&amp;L'!D37&gt;0,1,0)</f>
        <v/>
      </c>
      <c r="E38" s="27">
        <f>IF('P&amp;L'!E37&gt;0,1,0)</f>
        <v/>
      </c>
      <c r="F38" s="27">
        <f>IF('P&amp;L'!F37&gt;0,1,0)</f>
        <v/>
      </c>
      <c r="G38" s="27">
        <f>IF('P&amp;L'!G37&gt;0,1,0)</f>
        <v/>
      </c>
      <c r="H38" s="27">
        <f>IF('P&amp;L'!H37&gt;0,1,0)</f>
        <v/>
      </c>
      <c r="I38" s="27">
        <f>IF('P&amp;L'!I37&gt;0,1,0)</f>
        <v/>
      </c>
      <c r="J38" s="27">
        <f>IF('P&amp;L'!J37&gt;0,1,0)</f>
        <v/>
      </c>
      <c r="K38" s="27">
        <f>IF('P&amp;L'!K37&gt;0,1,0)</f>
        <v/>
      </c>
      <c r="L38" s="27">
        <f>IF('P&amp;L'!L37&gt;0,1,0)</f>
        <v/>
      </c>
      <c r="M38" s="27">
        <f>IF('P&amp;L'!M37&gt;0,1,0)</f>
        <v/>
      </c>
      <c r="N38" s="27">
        <f>IF('P&amp;L'!N37&gt;0,1,0)</f>
        <v/>
      </c>
      <c r="O38" s="27">
        <f>IF('P&amp;L'!O37&gt;0,1,0)</f>
        <v/>
      </c>
      <c r="P38" s="27">
        <f>IF('P&amp;L'!P37&gt;0,1,0)</f>
        <v/>
      </c>
      <c r="Q38" s="27">
        <f>IF('P&amp;L'!Q37&gt;0,1,0)</f>
        <v/>
      </c>
      <c r="R38" s="27">
        <f>IF('P&amp;L'!R37&gt;0,1,0)</f>
        <v/>
      </c>
      <c r="S38" s="27">
        <f>IF('P&amp;L'!S37&gt;0,1,0)</f>
        <v/>
      </c>
      <c r="T38" s="27">
        <f>IF('P&amp;L'!T37&gt;0,1,0)</f>
        <v/>
      </c>
      <c r="U38" s="27">
        <f>IF('P&amp;L'!U37&gt;0,1,0)</f>
        <v/>
      </c>
      <c r="V38" s="27">
        <f>IF('P&amp;L'!V37&gt;0,1,0)</f>
        <v/>
      </c>
      <c r="W38" s="27">
        <f>IF('P&amp;L'!W37&gt;0,1,0)</f>
        <v/>
      </c>
      <c r="X38" s="27">
        <f>IF('P&amp;L'!X37&gt;0,1,0)</f>
        <v/>
      </c>
      <c r="Y38" s="27">
        <f>IF('P&amp;L'!Y37&gt;0,1,0)</f>
        <v/>
      </c>
      <c r="Z38" s="27">
        <f>IF('P&amp;L'!Z37&gt;0,1,0)</f>
        <v/>
      </c>
      <c r="AA38" s="27">
        <f>IF('P&amp;L'!AA37&gt;0,1,0)</f>
        <v/>
      </c>
      <c r="AB38" s="27">
        <f>IF('P&amp;L'!AB37&gt;0,1,0)</f>
        <v/>
      </c>
      <c r="AC38" s="27">
        <f>IF('P&amp;L'!AC37&gt;0,1,0)</f>
        <v/>
      </c>
      <c r="AD38" s="27">
        <f>IF('P&amp;L'!AD37&gt;0,1,0)</f>
        <v/>
      </c>
      <c r="AE38" s="27">
        <f>IF('P&amp;L'!AE37&gt;0,1,0)</f>
        <v/>
      </c>
      <c r="AF38" s="27">
        <f>IF('P&amp;L'!AF37&gt;0,1,0)</f>
        <v/>
      </c>
      <c r="AG38" s="27">
        <f>IF('P&amp;L'!AG37&gt;0,1,0)</f>
        <v/>
      </c>
      <c r="AH38" s="27">
        <f>IF('P&amp;L'!AH37&gt;0,1,0)</f>
        <v/>
      </c>
      <c r="AI38" s="27">
        <f>IF('P&amp;L'!AI37&gt;0,1,0)</f>
        <v/>
      </c>
      <c r="AJ38" s="27">
        <f>IF('P&amp;L'!AJ37&gt;0,1,0)</f>
        <v/>
      </c>
      <c r="AK38" s="27">
        <f>IF('P&amp;L'!AK37&gt;0,1,0)</f>
        <v/>
      </c>
      <c r="AL38" s="27">
        <f>IF('P&amp;L'!AL37&gt;0,1,0)</f>
        <v/>
      </c>
    </row>
    <row r="40">
      <c r="A40" s="4" t="inlineStr">
        <is>
          <t>No depreciation, interest, corporation tax or VAT modelled (loss-making; R&amp;D tax relief is an unmodelled upside, TO VALIDATE).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Q29"/>
  <sheetViews>
    <sheetView workbookViewId="0">
      <pane xSplit="2" ySplit="6" topLeftCell="C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2" customWidth="1" min="1" max="1"/>
    <col width="14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3" customWidth="1" min="40" max="40"/>
    <col width="13" customWidth="1" min="41" max="41"/>
    <col width="13" customWidth="1" min="42" max="42"/>
    <col width="13" customWidth="1" min="43" max="43"/>
  </cols>
  <sheetData>
    <row r="1">
      <c r="A1" s="38" t="inlineStr">
        <is>
          <t>Cash flow — receipts with collection lag, funding injections, closing cash, runway</t>
        </is>
      </c>
    </row>
    <row r="2">
      <c r="A2" s="4">
        <f>"Scenario: "&amp;Assumptions!$D$4&amp;"  —  all figures GBP, scenario values, not actuals"</f>
        <v/>
      </c>
    </row>
    <row r="3">
      <c r="A3" s="20" t="inlineStr">
        <is>
          <t>Month #</t>
        </is>
      </c>
      <c r="B3" s="10" t="n"/>
      <c r="C3" s="20" t="n">
        <v>1</v>
      </c>
      <c r="D3" s="20" t="n">
        <v>2</v>
      </c>
      <c r="E3" s="20" t="n">
        <v>3</v>
      </c>
      <c r="F3" s="20" t="n">
        <v>4</v>
      </c>
      <c r="G3" s="20" t="n">
        <v>5</v>
      </c>
      <c r="H3" s="20" t="n">
        <v>6</v>
      </c>
      <c r="I3" s="20" t="n">
        <v>7</v>
      </c>
      <c r="J3" s="20" t="n">
        <v>8</v>
      </c>
      <c r="K3" s="20" t="n">
        <v>9</v>
      </c>
      <c r="L3" s="20" t="n">
        <v>10</v>
      </c>
      <c r="M3" s="20" t="n">
        <v>11</v>
      </c>
      <c r="N3" s="20" t="n">
        <v>12</v>
      </c>
      <c r="O3" s="20" t="n">
        <v>13</v>
      </c>
      <c r="P3" s="20" t="n">
        <v>14</v>
      </c>
      <c r="Q3" s="20" t="n">
        <v>15</v>
      </c>
      <c r="R3" s="20" t="n">
        <v>16</v>
      </c>
      <c r="S3" s="20" t="n">
        <v>17</v>
      </c>
      <c r="T3" s="20" t="n">
        <v>18</v>
      </c>
      <c r="U3" s="20" t="n">
        <v>19</v>
      </c>
      <c r="V3" s="20" t="n">
        <v>20</v>
      </c>
      <c r="W3" s="20" t="n">
        <v>21</v>
      </c>
      <c r="X3" s="20" t="n">
        <v>22</v>
      </c>
      <c r="Y3" s="20" t="n">
        <v>23</v>
      </c>
      <c r="Z3" s="20" t="n">
        <v>24</v>
      </c>
      <c r="AA3" s="20" t="n">
        <v>25</v>
      </c>
      <c r="AB3" s="20" t="n">
        <v>26</v>
      </c>
      <c r="AC3" s="20" t="n">
        <v>27</v>
      </c>
      <c r="AD3" s="20" t="n">
        <v>28</v>
      </c>
      <c r="AE3" s="20" t="n">
        <v>29</v>
      </c>
      <c r="AF3" s="20" t="n">
        <v>30</v>
      </c>
      <c r="AG3" s="20" t="n">
        <v>31</v>
      </c>
      <c r="AH3" s="20" t="n">
        <v>32</v>
      </c>
      <c r="AI3" s="20" t="n">
        <v>33</v>
      </c>
      <c r="AJ3" s="20" t="n">
        <v>34</v>
      </c>
      <c r="AK3" s="20" t="n">
        <v>35</v>
      </c>
      <c r="AL3" s="20" t="n">
        <v>36</v>
      </c>
      <c r="AM3" s="10" t="n"/>
      <c r="AN3" s="10" t="n"/>
      <c r="AO3" s="10" t="n"/>
      <c r="AP3" s="10" t="n"/>
      <c r="AQ3" s="10" t="n"/>
    </row>
    <row r="4">
      <c r="A4" s="20" t="inlineStr">
        <is>
          <t>Month</t>
        </is>
      </c>
      <c r="B4" s="10" t="n"/>
      <c r="C4" s="21" t="n">
        <v>46388</v>
      </c>
      <c r="D4" s="21" t="n">
        <v>46419</v>
      </c>
      <c r="E4" s="21" t="n">
        <v>46447</v>
      </c>
      <c r="F4" s="21" t="n">
        <v>46478</v>
      </c>
      <c r="G4" s="21" t="n">
        <v>46508</v>
      </c>
      <c r="H4" s="21" t="n">
        <v>46539</v>
      </c>
      <c r="I4" s="21" t="n">
        <v>46569</v>
      </c>
      <c r="J4" s="21" t="n">
        <v>46600</v>
      </c>
      <c r="K4" s="21" t="n">
        <v>46631</v>
      </c>
      <c r="L4" s="21" t="n">
        <v>46661</v>
      </c>
      <c r="M4" s="21" t="n">
        <v>46692</v>
      </c>
      <c r="N4" s="21" t="n">
        <v>46722</v>
      </c>
      <c r="O4" s="21" t="n">
        <v>46753</v>
      </c>
      <c r="P4" s="21" t="n">
        <v>46784</v>
      </c>
      <c r="Q4" s="21" t="n">
        <v>46813</v>
      </c>
      <c r="R4" s="21" t="n">
        <v>46844</v>
      </c>
      <c r="S4" s="21" t="n">
        <v>46874</v>
      </c>
      <c r="T4" s="21" t="n">
        <v>46905</v>
      </c>
      <c r="U4" s="21" t="n">
        <v>46935</v>
      </c>
      <c r="V4" s="21" t="n">
        <v>46966</v>
      </c>
      <c r="W4" s="21" t="n">
        <v>46997</v>
      </c>
      <c r="X4" s="21" t="n">
        <v>47027</v>
      </c>
      <c r="Y4" s="21" t="n">
        <v>47058</v>
      </c>
      <c r="Z4" s="21" t="n">
        <v>47088</v>
      </c>
      <c r="AA4" s="21" t="n">
        <v>47119</v>
      </c>
      <c r="AB4" s="21" t="n">
        <v>47150</v>
      </c>
      <c r="AC4" s="21" t="n">
        <v>47178</v>
      </c>
      <c r="AD4" s="21" t="n">
        <v>47209</v>
      </c>
      <c r="AE4" s="21" t="n">
        <v>47239</v>
      </c>
      <c r="AF4" s="21" t="n">
        <v>47270</v>
      </c>
      <c r="AG4" s="21" t="n">
        <v>47300</v>
      </c>
      <c r="AH4" s="21" t="n">
        <v>47331</v>
      </c>
      <c r="AI4" s="21" t="n">
        <v>47362</v>
      </c>
      <c r="AJ4" s="21" t="n">
        <v>47392</v>
      </c>
      <c r="AK4" s="21" t="n">
        <v>47423</v>
      </c>
      <c r="AL4" s="21" t="n">
        <v>47453</v>
      </c>
      <c r="AM4" s="10" t="n"/>
      <c r="AN4" s="20" t="inlineStr">
        <is>
          <t>FY2027</t>
        </is>
      </c>
      <c r="AO4" s="20" t="inlineStr">
        <is>
          <t>FY2028</t>
        </is>
      </c>
      <c r="AP4" s="20" t="inlineStr">
        <is>
          <t>FY2029</t>
        </is>
      </c>
      <c r="AQ4" s="20" t="inlineStr">
        <is>
          <t>3-year total</t>
        </is>
      </c>
    </row>
    <row r="5">
      <c r="A5" s="20" t="inlineStr">
        <is>
          <t>Year</t>
        </is>
      </c>
      <c r="B5" s="10" t="n"/>
      <c r="C5" s="20" t="n">
        <v>2027</v>
      </c>
      <c r="D5" s="20" t="n">
        <v>2027</v>
      </c>
      <c r="E5" s="20" t="n">
        <v>2027</v>
      </c>
      <c r="F5" s="20" t="n">
        <v>2027</v>
      </c>
      <c r="G5" s="20" t="n">
        <v>2027</v>
      </c>
      <c r="H5" s="20" t="n">
        <v>2027</v>
      </c>
      <c r="I5" s="20" t="n">
        <v>2027</v>
      </c>
      <c r="J5" s="20" t="n">
        <v>2027</v>
      </c>
      <c r="K5" s="20" t="n">
        <v>2027</v>
      </c>
      <c r="L5" s="20" t="n">
        <v>2027</v>
      </c>
      <c r="M5" s="20" t="n">
        <v>2027</v>
      </c>
      <c r="N5" s="20" t="n">
        <v>2027</v>
      </c>
      <c r="O5" s="20" t="n">
        <v>2028</v>
      </c>
      <c r="P5" s="20" t="n">
        <v>2028</v>
      </c>
      <c r="Q5" s="20" t="n">
        <v>2028</v>
      </c>
      <c r="R5" s="20" t="n">
        <v>2028</v>
      </c>
      <c r="S5" s="20" t="n">
        <v>2028</v>
      </c>
      <c r="T5" s="20" t="n">
        <v>2028</v>
      </c>
      <c r="U5" s="20" t="n">
        <v>2028</v>
      </c>
      <c r="V5" s="20" t="n">
        <v>2028</v>
      </c>
      <c r="W5" s="20" t="n">
        <v>2028</v>
      </c>
      <c r="X5" s="20" t="n">
        <v>2028</v>
      </c>
      <c r="Y5" s="20" t="n">
        <v>2028</v>
      </c>
      <c r="Z5" s="20" t="n">
        <v>2028</v>
      </c>
      <c r="AA5" s="20" t="n">
        <v>2029</v>
      </c>
      <c r="AB5" s="20" t="n">
        <v>2029</v>
      </c>
      <c r="AC5" s="20" t="n">
        <v>2029</v>
      </c>
      <c r="AD5" s="20" t="n">
        <v>2029</v>
      </c>
      <c r="AE5" s="20" t="n">
        <v>2029</v>
      </c>
      <c r="AF5" s="20" t="n">
        <v>2029</v>
      </c>
      <c r="AG5" s="20" t="n">
        <v>2029</v>
      </c>
      <c r="AH5" s="20" t="n">
        <v>2029</v>
      </c>
      <c r="AI5" s="20" t="n">
        <v>2029</v>
      </c>
      <c r="AJ5" s="20" t="n">
        <v>2029</v>
      </c>
      <c r="AK5" s="20" t="n">
        <v>2029</v>
      </c>
      <c r="AL5" s="20" t="n">
        <v>2029</v>
      </c>
      <c r="AM5" s="10" t="n"/>
      <c r="AN5" s="20" t="n">
        <v>2027</v>
      </c>
      <c r="AO5" s="20" t="n">
        <v>2028</v>
      </c>
      <c r="AP5" s="20" t="n">
        <v>2029</v>
      </c>
      <c r="AQ5" s="10" t="n"/>
    </row>
    <row r="6">
      <c r="A6" s="7" t="inlineStr">
        <is>
          <t>Year index</t>
        </is>
      </c>
      <c r="C6">
        <f>C5-2026</f>
        <v/>
      </c>
      <c r="D6">
        <f>D5-2026</f>
        <v/>
      </c>
      <c r="E6">
        <f>E5-2026</f>
        <v/>
      </c>
      <c r="F6">
        <f>F5-2026</f>
        <v/>
      </c>
      <c r="G6">
        <f>G5-2026</f>
        <v/>
      </c>
      <c r="H6">
        <f>H5-2026</f>
        <v/>
      </c>
      <c r="I6">
        <f>I5-2026</f>
        <v/>
      </c>
      <c r="J6">
        <f>J5-2026</f>
        <v/>
      </c>
      <c r="K6">
        <f>K5-2026</f>
        <v/>
      </c>
      <c r="L6">
        <f>L5-2026</f>
        <v/>
      </c>
      <c r="M6">
        <f>M5-2026</f>
        <v/>
      </c>
      <c r="N6">
        <f>N5-2026</f>
        <v/>
      </c>
      <c r="O6">
        <f>O5-2026</f>
        <v/>
      </c>
      <c r="P6">
        <f>P5-2026</f>
        <v/>
      </c>
      <c r="Q6">
        <f>Q5-2026</f>
        <v/>
      </c>
      <c r="R6">
        <f>R5-2026</f>
        <v/>
      </c>
      <c r="S6">
        <f>S5-2026</f>
        <v/>
      </c>
      <c r="T6">
        <f>T5-2026</f>
        <v/>
      </c>
      <c r="U6">
        <f>U5-2026</f>
        <v/>
      </c>
      <c r="V6">
        <f>V5-2026</f>
        <v/>
      </c>
      <c r="W6">
        <f>W5-2026</f>
        <v/>
      </c>
      <c r="X6">
        <f>X5-2026</f>
        <v/>
      </c>
      <c r="Y6">
        <f>Y5-2026</f>
        <v/>
      </c>
      <c r="Z6">
        <f>Z5-2026</f>
        <v/>
      </c>
      <c r="AA6">
        <f>AA5-2026</f>
        <v/>
      </c>
      <c r="AB6">
        <f>AB5-2026</f>
        <v/>
      </c>
      <c r="AC6">
        <f>AC5-2026</f>
        <v/>
      </c>
      <c r="AD6">
        <f>AD5-2026</f>
        <v/>
      </c>
      <c r="AE6">
        <f>AE5-2026</f>
        <v/>
      </c>
      <c r="AF6">
        <f>AF5-2026</f>
        <v/>
      </c>
      <c r="AG6">
        <f>AG5-2026</f>
        <v/>
      </c>
      <c r="AH6">
        <f>AH5-2026</f>
        <v/>
      </c>
      <c r="AI6">
        <f>AI5-2026</f>
        <v/>
      </c>
      <c r="AJ6">
        <f>AJ5-2026</f>
        <v/>
      </c>
      <c r="AK6">
        <f>AK5-2026</f>
        <v/>
      </c>
      <c r="AL6">
        <f>AL5-2026</f>
        <v/>
      </c>
    </row>
    <row r="7">
      <c r="A7" s="22" t="inlineStr">
        <is>
          <t>Opening cash</t>
        </is>
      </c>
      <c r="B7" s="4" t="inlineStr"/>
      <c r="C7" s="19">
        <f>Assumptions!$F$9</f>
        <v/>
      </c>
      <c r="D7" s="19">
        <f>'Cash flow'!C25</f>
        <v/>
      </c>
      <c r="E7" s="19">
        <f>'Cash flow'!D25</f>
        <v/>
      </c>
      <c r="F7" s="19">
        <f>'Cash flow'!E25</f>
        <v/>
      </c>
      <c r="G7" s="19">
        <f>'Cash flow'!F25</f>
        <v/>
      </c>
      <c r="H7" s="19">
        <f>'Cash flow'!G25</f>
        <v/>
      </c>
      <c r="I7" s="19">
        <f>'Cash flow'!H25</f>
        <v/>
      </c>
      <c r="J7" s="19">
        <f>'Cash flow'!I25</f>
        <v/>
      </c>
      <c r="K7" s="19">
        <f>'Cash flow'!J25</f>
        <v/>
      </c>
      <c r="L7" s="19">
        <f>'Cash flow'!K25</f>
        <v/>
      </c>
      <c r="M7" s="19">
        <f>'Cash flow'!L25</f>
        <v/>
      </c>
      <c r="N7" s="19">
        <f>'Cash flow'!M25</f>
        <v/>
      </c>
      <c r="O7" s="19">
        <f>'Cash flow'!N25</f>
        <v/>
      </c>
      <c r="P7" s="19">
        <f>'Cash flow'!O25</f>
        <v/>
      </c>
      <c r="Q7" s="19">
        <f>'Cash flow'!P25</f>
        <v/>
      </c>
      <c r="R7" s="19">
        <f>'Cash flow'!Q25</f>
        <v/>
      </c>
      <c r="S7" s="19">
        <f>'Cash flow'!R25</f>
        <v/>
      </c>
      <c r="T7" s="19">
        <f>'Cash flow'!S25</f>
        <v/>
      </c>
      <c r="U7" s="19">
        <f>'Cash flow'!T25</f>
        <v/>
      </c>
      <c r="V7" s="19">
        <f>'Cash flow'!U25</f>
        <v/>
      </c>
      <c r="W7" s="19">
        <f>'Cash flow'!V25</f>
        <v/>
      </c>
      <c r="X7" s="19">
        <f>'Cash flow'!W25</f>
        <v/>
      </c>
      <c r="Y7" s="19">
        <f>'Cash flow'!X25</f>
        <v/>
      </c>
      <c r="Z7" s="19">
        <f>'Cash flow'!Y25</f>
        <v/>
      </c>
      <c r="AA7" s="19">
        <f>'Cash flow'!Z25</f>
        <v/>
      </c>
      <c r="AB7" s="19">
        <f>'Cash flow'!AA25</f>
        <v/>
      </c>
      <c r="AC7" s="19">
        <f>'Cash flow'!AB25</f>
        <v/>
      </c>
      <c r="AD7" s="19">
        <f>'Cash flow'!AC25</f>
        <v/>
      </c>
      <c r="AE7" s="19">
        <f>'Cash flow'!AD25</f>
        <v/>
      </c>
      <c r="AF7" s="19">
        <f>'Cash flow'!AE25</f>
        <v/>
      </c>
      <c r="AG7" s="19">
        <f>'Cash flow'!AF25</f>
        <v/>
      </c>
      <c r="AH7" s="19">
        <f>'Cash flow'!AG25</f>
        <v/>
      </c>
      <c r="AI7" s="19">
        <f>'Cash flow'!AH25</f>
        <v/>
      </c>
      <c r="AJ7" s="19">
        <f>'Cash flow'!AI25</f>
        <v/>
      </c>
      <c r="AK7" s="19">
        <f>'Cash flow'!AJ25</f>
        <v/>
      </c>
      <c r="AL7" s="19">
        <f>'Cash flow'!AK25</f>
        <v/>
      </c>
    </row>
    <row r="8">
      <c r="A8" s="9" t="inlineStr">
        <is>
          <t>OPERATING CASH FLOW</t>
        </is>
      </c>
      <c r="B8" s="10" t="n"/>
      <c r="C8" s="10" t="n"/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  <c r="M8" s="10" t="n"/>
      <c r="N8" s="10" t="n"/>
      <c r="O8" s="10" t="n"/>
      <c r="P8" s="10" t="n"/>
      <c r="Q8" s="10" t="n"/>
      <c r="R8" s="10" t="n"/>
      <c r="S8" s="10" t="n"/>
      <c r="T8" s="10" t="n"/>
      <c r="U8" s="10" t="n"/>
      <c r="V8" s="10" t="n"/>
      <c r="W8" s="10" t="n"/>
      <c r="X8" s="10" t="n"/>
      <c r="Y8" s="10" t="n"/>
      <c r="Z8" s="10" t="n"/>
      <c r="AA8" s="10" t="n"/>
      <c r="AB8" s="10" t="n"/>
      <c r="AC8" s="10" t="n"/>
      <c r="AD8" s="10" t="n"/>
      <c r="AE8" s="10" t="n"/>
      <c r="AF8" s="10" t="n"/>
      <c r="AG8" s="10" t="n"/>
      <c r="AH8" s="10" t="n"/>
      <c r="AI8" s="10" t="n"/>
      <c r="AJ8" s="10" t="n"/>
      <c r="AK8" s="10" t="n"/>
      <c r="AL8" s="10" t="n"/>
      <c r="AM8" s="10" t="n"/>
      <c r="AN8" s="10" t="n"/>
      <c r="AO8" s="10" t="n"/>
      <c r="AP8" s="10" t="n"/>
      <c r="AQ8" s="10" t="n"/>
    </row>
    <row r="9">
      <c r="A9" s="22" t="inlineStr">
        <is>
          <t>Receipts — advisory &amp; consulting (lagged)</t>
        </is>
      </c>
      <c r="B9" s="4" t="inlineStr"/>
      <c r="C9" s="19">
        <f>IF(C3-Assumptions!$F$10&lt;1,0,INDEX('Revenue build'!$C$23:$AL$23,1,C3-Assumptions!$F$10))+IF(C3-Assumptions!$F$10&lt;1,0,INDEX('Revenue build'!$C$27:$AL$27,1,C3-Assumptions!$F$10))</f>
        <v/>
      </c>
      <c r="D9" s="19">
        <f>IF(D3-Assumptions!$F$10&lt;1,0,INDEX('Revenue build'!$C$23:$AL$23,1,D3-Assumptions!$F$10))+IF(D3-Assumptions!$F$10&lt;1,0,INDEX('Revenue build'!$C$27:$AL$27,1,D3-Assumptions!$F$10))</f>
        <v/>
      </c>
      <c r="E9" s="19">
        <f>IF(E3-Assumptions!$F$10&lt;1,0,INDEX('Revenue build'!$C$23:$AL$23,1,E3-Assumptions!$F$10))+IF(E3-Assumptions!$F$10&lt;1,0,INDEX('Revenue build'!$C$27:$AL$27,1,E3-Assumptions!$F$10))</f>
        <v/>
      </c>
      <c r="F9" s="19">
        <f>IF(F3-Assumptions!$F$10&lt;1,0,INDEX('Revenue build'!$C$23:$AL$23,1,F3-Assumptions!$F$10))+IF(F3-Assumptions!$F$10&lt;1,0,INDEX('Revenue build'!$C$27:$AL$27,1,F3-Assumptions!$F$10))</f>
        <v/>
      </c>
      <c r="G9" s="19">
        <f>IF(G3-Assumptions!$F$10&lt;1,0,INDEX('Revenue build'!$C$23:$AL$23,1,G3-Assumptions!$F$10))+IF(G3-Assumptions!$F$10&lt;1,0,INDEX('Revenue build'!$C$27:$AL$27,1,G3-Assumptions!$F$10))</f>
        <v/>
      </c>
      <c r="H9" s="19">
        <f>IF(H3-Assumptions!$F$10&lt;1,0,INDEX('Revenue build'!$C$23:$AL$23,1,H3-Assumptions!$F$10))+IF(H3-Assumptions!$F$10&lt;1,0,INDEX('Revenue build'!$C$27:$AL$27,1,H3-Assumptions!$F$10))</f>
        <v/>
      </c>
      <c r="I9" s="19">
        <f>IF(I3-Assumptions!$F$10&lt;1,0,INDEX('Revenue build'!$C$23:$AL$23,1,I3-Assumptions!$F$10))+IF(I3-Assumptions!$F$10&lt;1,0,INDEX('Revenue build'!$C$27:$AL$27,1,I3-Assumptions!$F$10))</f>
        <v/>
      </c>
      <c r="J9" s="19">
        <f>IF(J3-Assumptions!$F$10&lt;1,0,INDEX('Revenue build'!$C$23:$AL$23,1,J3-Assumptions!$F$10))+IF(J3-Assumptions!$F$10&lt;1,0,INDEX('Revenue build'!$C$27:$AL$27,1,J3-Assumptions!$F$10))</f>
        <v/>
      </c>
      <c r="K9" s="19">
        <f>IF(K3-Assumptions!$F$10&lt;1,0,INDEX('Revenue build'!$C$23:$AL$23,1,K3-Assumptions!$F$10))+IF(K3-Assumptions!$F$10&lt;1,0,INDEX('Revenue build'!$C$27:$AL$27,1,K3-Assumptions!$F$10))</f>
        <v/>
      </c>
      <c r="L9" s="19">
        <f>IF(L3-Assumptions!$F$10&lt;1,0,INDEX('Revenue build'!$C$23:$AL$23,1,L3-Assumptions!$F$10))+IF(L3-Assumptions!$F$10&lt;1,0,INDEX('Revenue build'!$C$27:$AL$27,1,L3-Assumptions!$F$10))</f>
        <v/>
      </c>
      <c r="M9" s="19">
        <f>IF(M3-Assumptions!$F$10&lt;1,0,INDEX('Revenue build'!$C$23:$AL$23,1,M3-Assumptions!$F$10))+IF(M3-Assumptions!$F$10&lt;1,0,INDEX('Revenue build'!$C$27:$AL$27,1,M3-Assumptions!$F$10))</f>
        <v/>
      </c>
      <c r="N9" s="19">
        <f>IF(N3-Assumptions!$F$10&lt;1,0,INDEX('Revenue build'!$C$23:$AL$23,1,N3-Assumptions!$F$10))+IF(N3-Assumptions!$F$10&lt;1,0,INDEX('Revenue build'!$C$27:$AL$27,1,N3-Assumptions!$F$10))</f>
        <v/>
      </c>
      <c r="O9" s="19">
        <f>IF(O3-Assumptions!$F$10&lt;1,0,INDEX('Revenue build'!$C$23:$AL$23,1,O3-Assumptions!$F$10))+IF(O3-Assumptions!$F$10&lt;1,0,INDEX('Revenue build'!$C$27:$AL$27,1,O3-Assumptions!$F$10))</f>
        <v/>
      </c>
      <c r="P9" s="19">
        <f>IF(P3-Assumptions!$F$10&lt;1,0,INDEX('Revenue build'!$C$23:$AL$23,1,P3-Assumptions!$F$10))+IF(P3-Assumptions!$F$10&lt;1,0,INDEX('Revenue build'!$C$27:$AL$27,1,P3-Assumptions!$F$10))</f>
        <v/>
      </c>
      <c r="Q9" s="19">
        <f>IF(Q3-Assumptions!$F$10&lt;1,0,INDEX('Revenue build'!$C$23:$AL$23,1,Q3-Assumptions!$F$10))+IF(Q3-Assumptions!$F$10&lt;1,0,INDEX('Revenue build'!$C$27:$AL$27,1,Q3-Assumptions!$F$10))</f>
        <v/>
      </c>
      <c r="R9" s="19">
        <f>IF(R3-Assumptions!$F$10&lt;1,0,INDEX('Revenue build'!$C$23:$AL$23,1,R3-Assumptions!$F$10))+IF(R3-Assumptions!$F$10&lt;1,0,INDEX('Revenue build'!$C$27:$AL$27,1,R3-Assumptions!$F$10))</f>
        <v/>
      </c>
      <c r="S9" s="19">
        <f>IF(S3-Assumptions!$F$10&lt;1,0,INDEX('Revenue build'!$C$23:$AL$23,1,S3-Assumptions!$F$10))+IF(S3-Assumptions!$F$10&lt;1,0,INDEX('Revenue build'!$C$27:$AL$27,1,S3-Assumptions!$F$10))</f>
        <v/>
      </c>
      <c r="T9" s="19">
        <f>IF(T3-Assumptions!$F$10&lt;1,0,INDEX('Revenue build'!$C$23:$AL$23,1,T3-Assumptions!$F$10))+IF(T3-Assumptions!$F$10&lt;1,0,INDEX('Revenue build'!$C$27:$AL$27,1,T3-Assumptions!$F$10))</f>
        <v/>
      </c>
      <c r="U9" s="19">
        <f>IF(U3-Assumptions!$F$10&lt;1,0,INDEX('Revenue build'!$C$23:$AL$23,1,U3-Assumptions!$F$10))+IF(U3-Assumptions!$F$10&lt;1,0,INDEX('Revenue build'!$C$27:$AL$27,1,U3-Assumptions!$F$10))</f>
        <v/>
      </c>
      <c r="V9" s="19">
        <f>IF(V3-Assumptions!$F$10&lt;1,0,INDEX('Revenue build'!$C$23:$AL$23,1,V3-Assumptions!$F$10))+IF(V3-Assumptions!$F$10&lt;1,0,INDEX('Revenue build'!$C$27:$AL$27,1,V3-Assumptions!$F$10))</f>
        <v/>
      </c>
      <c r="W9" s="19">
        <f>IF(W3-Assumptions!$F$10&lt;1,0,INDEX('Revenue build'!$C$23:$AL$23,1,W3-Assumptions!$F$10))+IF(W3-Assumptions!$F$10&lt;1,0,INDEX('Revenue build'!$C$27:$AL$27,1,W3-Assumptions!$F$10))</f>
        <v/>
      </c>
      <c r="X9" s="19">
        <f>IF(X3-Assumptions!$F$10&lt;1,0,INDEX('Revenue build'!$C$23:$AL$23,1,X3-Assumptions!$F$10))+IF(X3-Assumptions!$F$10&lt;1,0,INDEX('Revenue build'!$C$27:$AL$27,1,X3-Assumptions!$F$10))</f>
        <v/>
      </c>
      <c r="Y9" s="19">
        <f>IF(Y3-Assumptions!$F$10&lt;1,0,INDEX('Revenue build'!$C$23:$AL$23,1,Y3-Assumptions!$F$10))+IF(Y3-Assumptions!$F$10&lt;1,0,INDEX('Revenue build'!$C$27:$AL$27,1,Y3-Assumptions!$F$10))</f>
        <v/>
      </c>
      <c r="Z9" s="19">
        <f>IF(Z3-Assumptions!$F$10&lt;1,0,INDEX('Revenue build'!$C$23:$AL$23,1,Z3-Assumptions!$F$10))+IF(Z3-Assumptions!$F$10&lt;1,0,INDEX('Revenue build'!$C$27:$AL$27,1,Z3-Assumptions!$F$10))</f>
        <v/>
      </c>
      <c r="AA9" s="19">
        <f>IF(AA3-Assumptions!$F$10&lt;1,0,INDEX('Revenue build'!$C$23:$AL$23,1,AA3-Assumptions!$F$10))+IF(AA3-Assumptions!$F$10&lt;1,0,INDEX('Revenue build'!$C$27:$AL$27,1,AA3-Assumptions!$F$10))</f>
        <v/>
      </c>
      <c r="AB9" s="19">
        <f>IF(AB3-Assumptions!$F$10&lt;1,0,INDEX('Revenue build'!$C$23:$AL$23,1,AB3-Assumptions!$F$10))+IF(AB3-Assumptions!$F$10&lt;1,0,INDEX('Revenue build'!$C$27:$AL$27,1,AB3-Assumptions!$F$10))</f>
        <v/>
      </c>
      <c r="AC9" s="19">
        <f>IF(AC3-Assumptions!$F$10&lt;1,0,INDEX('Revenue build'!$C$23:$AL$23,1,AC3-Assumptions!$F$10))+IF(AC3-Assumptions!$F$10&lt;1,0,INDEX('Revenue build'!$C$27:$AL$27,1,AC3-Assumptions!$F$10))</f>
        <v/>
      </c>
      <c r="AD9" s="19">
        <f>IF(AD3-Assumptions!$F$10&lt;1,0,INDEX('Revenue build'!$C$23:$AL$23,1,AD3-Assumptions!$F$10))+IF(AD3-Assumptions!$F$10&lt;1,0,INDEX('Revenue build'!$C$27:$AL$27,1,AD3-Assumptions!$F$10))</f>
        <v/>
      </c>
      <c r="AE9" s="19">
        <f>IF(AE3-Assumptions!$F$10&lt;1,0,INDEX('Revenue build'!$C$23:$AL$23,1,AE3-Assumptions!$F$10))+IF(AE3-Assumptions!$F$10&lt;1,0,INDEX('Revenue build'!$C$27:$AL$27,1,AE3-Assumptions!$F$10))</f>
        <v/>
      </c>
      <c r="AF9" s="19">
        <f>IF(AF3-Assumptions!$F$10&lt;1,0,INDEX('Revenue build'!$C$23:$AL$23,1,AF3-Assumptions!$F$10))+IF(AF3-Assumptions!$F$10&lt;1,0,INDEX('Revenue build'!$C$27:$AL$27,1,AF3-Assumptions!$F$10))</f>
        <v/>
      </c>
      <c r="AG9" s="19">
        <f>IF(AG3-Assumptions!$F$10&lt;1,0,INDEX('Revenue build'!$C$23:$AL$23,1,AG3-Assumptions!$F$10))+IF(AG3-Assumptions!$F$10&lt;1,0,INDEX('Revenue build'!$C$27:$AL$27,1,AG3-Assumptions!$F$10))</f>
        <v/>
      </c>
      <c r="AH9" s="19">
        <f>IF(AH3-Assumptions!$F$10&lt;1,0,INDEX('Revenue build'!$C$23:$AL$23,1,AH3-Assumptions!$F$10))+IF(AH3-Assumptions!$F$10&lt;1,0,INDEX('Revenue build'!$C$27:$AL$27,1,AH3-Assumptions!$F$10))</f>
        <v/>
      </c>
      <c r="AI9" s="19">
        <f>IF(AI3-Assumptions!$F$10&lt;1,0,INDEX('Revenue build'!$C$23:$AL$23,1,AI3-Assumptions!$F$10))+IF(AI3-Assumptions!$F$10&lt;1,0,INDEX('Revenue build'!$C$27:$AL$27,1,AI3-Assumptions!$F$10))</f>
        <v/>
      </c>
      <c r="AJ9" s="19">
        <f>IF(AJ3-Assumptions!$F$10&lt;1,0,INDEX('Revenue build'!$C$23:$AL$23,1,AJ3-Assumptions!$F$10))+IF(AJ3-Assumptions!$F$10&lt;1,0,INDEX('Revenue build'!$C$27:$AL$27,1,AJ3-Assumptions!$F$10))</f>
        <v/>
      </c>
      <c r="AK9" s="19">
        <f>IF(AK3-Assumptions!$F$10&lt;1,0,INDEX('Revenue build'!$C$23:$AL$23,1,AK3-Assumptions!$F$10))+IF(AK3-Assumptions!$F$10&lt;1,0,INDEX('Revenue build'!$C$27:$AL$27,1,AK3-Assumptions!$F$10))</f>
        <v/>
      </c>
      <c r="AL9" s="19">
        <f>IF(AL3-Assumptions!$F$10&lt;1,0,INDEX('Revenue build'!$C$23:$AL$23,1,AL3-Assumptions!$F$10))+IF(AL3-Assumptions!$F$10&lt;1,0,INDEX('Revenue build'!$C$27:$AL$27,1,AL3-Assumptions!$F$10))</f>
        <v/>
      </c>
      <c r="AN9" s="19">
        <f>SUMIF($C$5:$AL$5,AN$5,C9:AL9)</f>
        <v/>
      </c>
      <c r="AO9" s="19">
        <f>SUMIF($C$5:$AL$5,AO$5,C9:AL9)</f>
        <v/>
      </c>
      <c r="AP9" s="19">
        <f>SUMIF($C$5:$AL$5,AP$5,C9:AL9)</f>
        <v/>
      </c>
      <c r="AQ9" s="19">
        <f>SUM(C9:AL9)</f>
        <v/>
      </c>
    </row>
    <row r="10">
      <c r="A10" s="22" t="inlineStr">
        <is>
          <t>Receipts — e-learning (prepaid)</t>
        </is>
      </c>
      <c r="B10" s="4" t="inlineStr"/>
      <c r="C10" s="19">
        <f>'Revenue build'!C36</f>
        <v/>
      </c>
      <c r="D10" s="19">
        <f>'Revenue build'!D36</f>
        <v/>
      </c>
      <c r="E10" s="19">
        <f>'Revenue build'!E36</f>
        <v/>
      </c>
      <c r="F10" s="19">
        <f>'Revenue build'!F36</f>
        <v/>
      </c>
      <c r="G10" s="19">
        <f>'Revenue build'!G36</f>
        <v/>
      </c>
      <c r="H10" s="19">
        <f>'Revenue build'!H36</f>
        <v/>
      </c>
      <c r="I10" s="19">
        <f>'Revenue build'!I36</f>
        <v/>
      </c>
      <c r="J10" s="19">
        <f>'Revenue build'!J36</f>
        <v/>
      </c>
      <c r="K10" s="19">
        <f>'Revenue build'!K36</f>
        <v/>
      </c>
      <c r="L10" s="19">
        <f>'Revenue build'!L36</f>
        <v/>
      </c>
      <c r="M10" s="19">
        <f>'Revenue build'!M36</f>
        <v/>
      </c>
      <c r="N10" s="19">
        <f>'Revenue build'!N36</f>
        <v/>
      </c>
      <c r="O10" s="19">
        <f>'Revenue build'!O36</f>
        <v/>
      </c>
      <c r="P10" s="19">
        <f>'Revenue build'!P36</f>
        <v/>
      </c>
      <c r="Q10" s="19">
        <f>'Revenue build'!Q36</f>
        <v/>
      </c>
      <c r="R10" s="19">
        <f>'Revenue build'!R36</f>
        <v/>
      </c>
      <c r="S10" s="19">
        <f>'Revenue build'!S36</f>
        <v/>
      </c>
      <c r="T10" s="19">
        <f>'Revenue build'!T36</f>
        <v/>
      </c>
      <c r="U10" s="19">
        <f>'Revenue build'!U36</f>
        <v/>
      </c>
      <c r="V10" s="19">
        <f>'Revenue build'!V36</f>
        <v/>
      </c>
      <c r="W10" s="19">
        <f>'Revenue build'!W36</f>
        <v/>
      </c>
      <c r="X10" s="19">
        <f>'Revenue build'!X36</f>
        <v/>
      </c>
      <c r="Y10" s="19">
        <f>'Revenue build'!Y36</f>
        <v/>
      </c>
      <c r="Z10" s="19">
        <f>'Revenue build'!Z36</f>
        <v/>
      </c>
      <c r="AA10" s="19">
        <f>'Revenue build'!AA36</f>
        <v/>
      </c>
      <c r="AB10" s="19">
        <f>'Revenue build'!AB36</f>
        <v/>
      </c>
      <c r="AC10" s="19">
        <f>'Revenue build'!AC36</f>
        <v/>
      </c>
      <c r="AD10" s="19">
        <f>'Revenue build'!AD36</f>
        <v/>
      </c>
      <c r="AE10" s="19">
        <f>'Revenue build'!AE36</f>
        <v/>
      </c>
      <c r="AF10" s="19">
        <f>'Revenue build'!AF36</f>
        <v/>
      </c>
      <c r="AG10" s="19">
        <f>'Revenue build'!AG36</f>
        <v/>
      </c>
      <c r="AH10" s="19">
        <f>'Revenue build'!AH36</f>
        <v/>
      </c>
      <c r="AI10" s="19">
        <f>'Revenue build'!AI36</f>
        <v/>
      </c>
      <c r="AJ10" s="19">
        <f>'Revenue build'!AJ36</f>
        <v/>
      </c>
      <c r="AK10" s="19">
        <f>'Revenue build'!AK36</f>
        <v/>
      </c>
      <c r="AL10" s="19">
        <f>'Revenue build'!AL36</f>
        <v/>
      </c>
      <c r="AN10" s="19">
        <f>SUMIF($C$5:$AL$5,AN$5,C10:AL10)</f>
        <v/>
      </c>
      <c r="AO10" s="19">
        <f>SUMIF($C$5:$AL$5,AO$5,C10:AL10)</f>
        <v/>
      </c>
      <c r="AP10" s="19">
        <f>SUMIF($C$5:$AL$5,AP$5,C10:AL10)</f>
        <v/>
      </c>
      <c r="AQ10" s="19">
        <f>SUM(C10:AL10)</f>
        <v/>
      </c>
    </row>
    <row r="11">
      <c r="A11" s="22" t="inlineStr">
        <is>
          <t>Receipts — MaternaLink (lagged)</t>
        </is>
      </c>
      <c r="B11" s="4" t="inlineStr"/>
      <c r="C11" s="19">
        <f>IF(C3-Assumptions!$F$10&lt;1,0,INDEX('Revenue build'!$C$48:$AL$48,1,C3-Assumptions!$F$10))</f>
        <v/>
      </c>
      <c r="D11" s="19">
        <f>IF(D3-Assumptions!$F$10&lt;1,0,INDEX('Revenue build'!$C$48:$AL$48,1,D3-Assumptions!$F$10))</f>
        <v/>
      </c>
      <c r="E11" s="19">
        <f>IF(E3-Assumptions!$F$10&lt;1,0,INDEX('Revenue build'!$C$48:$AL$48,1,E3-Assumptions!$F$10))</f>
        <v/>
      </c>
      <c r="F11" s="19">
        <f>IF(F3-Assumptions!$F$10&lt;1,0,INDEX('Revenue build'!$C$48:$AL$48,1,F3-Assumptions!$F$10))</f>
        <v/>
      </c>
      <c r="G11" s="19">
        <f>IF(G3-Assumptions!$F$10&lt;1,0,INDEX('Revenue build'!$C$48:$AL$48,1,G3-Assumptions!$F$10))</f>
        <v/>
      </c>
      <c r="H11" s="19">
        <f>IF(H3-Assumptions!$F$10&lt;1,0,INDEX('Revenue build'!$C$48:$AL$48,1,H3-Assumptions!$F$10))</f>
        <v/>
      </c>
      <c r="I11" s="19">
        <f>IF(I3-Assumptions!$F$10&lt;1,0,INDEX('Revenue build'!$C$48:$AL$48,1,I3-Assumptions!$F$10))</f>
        <v/>
      </c>
      <c r="J11" s="19">
        <f>IF(J3-Assumptions!$F$10&lt;1,0,INDEX('Revenue build'!$C$48:$AL$48,1,J3-Assumptions!$F$10))</f>
        <v/>
      </c>
      <c r="K11" s="19">
        <f>IF(K3-Assumptions!$F$10&lt;1,0,INDEX('Revenue build'!$C$48:$AL$48,1,K3-Assumptions!$F$10))</f>
        <v/>
      </c>
      <c r="L11" s="19">
        <f>IF(L3-Assumptions!$F$10&lt;1,0,INDEX('Revenue build'!$C$48:$AL$48,1,L3-Assumptions!$F$10))</f>
        <v/>
      </c>
      <c r="M11" s="19">
        <f>IF(M3-Assumptions!$F$10&lt;1,0,INDEX('Revenue build'!$C$48:$AL$48,1,M3-Assumptions!$F$10))</f>
        <v/>
      </c>
      <c r="N11" s="19">
        <f>IF(N3-Assumptions!$F$10&lt;1,0,INDEX('Revenue build'!$C$48:$AL$48,1,N3-Assumptions!$F$10))</f>
        <v/>
      </c>
      <c r="O11" s="19">
        <f>IF(O3-Assumptions!$F$10&lt;1,0,INDEX('Revenue build'!$C$48:$AL$48,1,O3-Assumptions!$F$10))</f>
        <v/>
      </c>
      <c r="P11" s="19">
        <f>IF(P3-Assumptions!$F$10&lt;1,0,INDEX('Revenue build'!$C$48:$AL$48,1,P3-Assumptions!$F$10))</f>
        <v/>
      </c>
      <c r="Q11" s="19">
        <f>IF(Q3-Assumptions!$F$10&lt;1,0,INDEX('Revenue build'!$C$48:$AL$48,1,Q3-Assumptions!$F$10))</f>
        <v/>
      </c>
      <c r="R11" s="19">
        <f>IF(R3-Assumptions!$F$10&lt;1,0,INDEX('Revenue build'!$C$48:$AL$48,1,R3-Assumptions!$F$10))</f>
        <v/>
      </c>
      <c r="S11" s="19">
        <f>IF(S3-Assumptions!$F$10&lt;1,0,INDEX('Revenue build'!$C$48:$AL$48,1,S3-Assumptions!$F$10))</f>
        <v/>
      </c>
      <c r="T11" s="19">
        <f>IF(T3-Assumptions!$F$10&lt;1,0,INDEX('Revenue build'!$C$48:$AL$48,1,T3-Assumptions!$F$10))</f>
        <v/>
      </c>
      <c r="U11" s="19">
        <f>IF(U3-Assumptions!$F$10&lt;1,0,INDEX('Revenue build'!$C$48:$AL$48,1,U3-Assumptions!$F$10))</f>
        <v/>
      </c>
      <c r="V11" s="19">
        <f>IF(V3-Assumptions!$F$10&lt;1,0,INDEX('Revenue build'!$C$48:$AL$48,1,V3-Assumptions!$F$10))</f>
        <v/>
      </c>
      <c r="W11" s="19">
        <f>IF(W3-Assumptions!$F$10&lt;1,0,INDEX('Revenue build'!$C$48:$AL$48,1,W3-Assumptions!$F$10))</f>
        <v/>
      </c>
      <c r="X11" s="19">
        <f>IF(X3-Assumptions!$F$10&lt;1,0,INDEX('Revenue build'!$C$48:$AL$48,1,X3-Assumptions!$F$10))</f>
        <v/>
      </c>
      <c r="Y11" s="19">
        <f>IF(Y3-Assumptions!$F$10&lt;1,0,INDEX('Revenue build'!$C$48:$AL$48,1,Y3-Assumptions!$F$10))</f>
        <v/>
      </c>
      <c r="Z11" s="19">
        <f>IF(Z3-Assumptions!$F$10&lt;1,0,INDEX('Revenue build'!$C$48:$AL$48,1,Z3-Assumptions!$F$10))</f>
        <v/>
      </c>
      <c r="AA11" s="19">
        <f>IF(AA3-Assumptions!$F$10&lt;1,0,INDEX('Revenue build'!$C$48:$AL$48,1,AA3-Assumptions!$F$10))</f>
        <v/>
      </c>
      <c r="AB11" s="19">
        <f>IF(AB3-Assumptions!$F$10&lt;1,0,INDEX('Revenue build'!$C$48:$AL$48,1,AB3-Assumptions!$F$10))</f>
        <v/>
      </c>
      <c r="AC11" s="19">
        <f>IF(AC3-Assumptions!$F$10&lt;1,0,INDEX('Revenue build'!$C$48:$AL$48,1,AC3-Assumptions!$F$10))</f>
        <v/>
      </c>
      <c r="AD11" s="19">
        <f>IF(AD3-Assumptions!$F$10&lt;1,0,INDEX('Revenue build'!$C$48:$AL$48,1,AD3-Assumptions!$F$10))</f>
        <v/>
      </c>
      <c r="AE11" s="19">
        <f>IF(AE3-Assumptions!$F$10&lt;1,0,INDEX('Revenue build'!$C$48:$AL$48,1,AE3-Assumptions!$F$10))</f>
        <v/>
      </c>
      <c r="AF11" s="19">
        <f>IF(AF3-Assumptions!$F$10&lt;1,0,INDEX('Revenue build'!$C$48:$AL$48,1,AF3-Assumptions!$F$10))</f>
        <v/>
      </c>
      <c r="AG11" s="19">
        <f>IF(AG3-Assumptions!$F$10&lt;1,0,INDEX('Revenue build'!$C$48:$AL$48,1,AG3-Assumptions!$F$10))</f>
        <v/>
      </c>
      <c r="AH11" s="19">
        <f>IF(AH3-Assumptions!$F$10&lt;1,0,INDEX('Revenue build'!$C$48:$AL$48,1,AH3-Assumptions!$F$10))</f>
        <v/>
      </c>
      <c r="AI11" s="19">
        <f>IF(AI3-Assumptions!$F$10&lt;1,0,INDEX('Revenue build'!$C$48:$AL$48,1,AI3-Assumptions!$F$10))</f>
        <v/>
      </c>
      <c r="AJ11" s="19">
        <f>IF(AJ3-Assumptions!$F$10&lt;1,0,INDEX('Revenue build'!$C$48:$AL$48,1,AJ3-Assumptions!$F$10))</f>
        <v/>
      </c>
      <c r="AK11" s="19">
        <f>IF(AK3-Assumptions!$F$10&lt;1,0,INDEX('Revenue build'!$C$48:$AL$48,1,AK3-Assumptions!$F$10))</f>
        <v/>
      </c>
      <c r="AL11" s="19">
        <f>IF(AL3-Assumptions!$F$10&lt;1,0,INDEX('Revenue build'!$C$48:$AL$48,1,AL3-Assumptions!$F$10))</f>
        <v/>
      </c>
      <c r="AN11" s="19">
        <f>SUMIF($C$5:$AL$5,AN$5,C11:AL11)</f>
        <v/>
      </c>
      <c r="AO11" s="19">
        <f>SUMIF($C$5:$AL$5,AO$5,C11:AL11)</f>
        <v/>
      </c>
      <c r="AP11" s="19">
        <f>SUMIF($C$5:$AL$5,AP$5,C11:AL11)</f>
        <v/>
      </c>
      <c r="AQ11" s="19">
        <f>SUM(C11:AL11)</f>
        <v/>
      </c>
    </row>
    <row r="12">
      <c r="A12" s="7" t="inlineStr">
        <is>
          <t>Total receipts</t>
        </is>
      </c>
      <c r="B12" s="4" t="inlineStr"/>
      <c r="C12" s="26">
        <f>SUM(C9:C11)</f>
        <v/>
      </c>
      <c r="D12" s="26">
        <f>SUM(D9:D11)</f>
        <v/>
      </c>
      <c r="E12" s="26">
        <f>SUM(E9:E11)</f>
        <v/>
      </c>
      <c r="F12" s="26">
        <f>SUM(F9:F11)</f>
        <v/>
      </c>
      <c r="G12" s="26">
        <f>SUM(G9:G11)</f>
        <v/>
      </c>
      <c r="H12" s="26">
        <f>SUM(H9:H11)</f>
        <v/>
      </c>
      <c r="I12" s="26">
        <f>SUM(I9:I11)</f>
        <v/>
      </c>
      <c r="J12" s="26">
        <f>SUM(J9:J11)</f>
        <v/>
      </c>
      <c r="K12" s="26">
        <f>SUM(K9:K11)</f>
        <v/>
      </c>
      <c r="L12" s="26">
        <f>SUM(L9:L11)</f>
        <v/>
      </c>
      <c r="M12" s="26">
        <f>SUM(M9:M11)</f>
        <v/>
      </c>
      <c r="N12" s="26">
        <f>SUM(N9:N11)</f>
        <v/>
      </c>
      <c r="O12" s="26">
        <f>SUM(O9:O11)</f>
        <v/>
      </c>
      <c r="P12" s="26">
        <f>SUM(P9:P11)</f>
        <v/>
      </c>
      <c r="Q12" s="26">
        <f>SUM(Q9:Q11)</f>
        <v/>
      </c>
      <c r="R12" s="26">
        <f>SUM(R9:R11)</f>
        <v/>
      </c>
      <c r="S12" s="26">
        <f>SUM(S9:S11)</f>
        <v/>
      </c>
      <c r="T12" s="26">
        <f>SUM(T9:T11)</f>
        <v/>
      </c>
      <c r="U12" s="26">
        <f>SUM(U9:U11)</f>
        <v/>
      </c>
      <c r="V12" s="26">
        <f>SUM(V9:V11)</f>
        <v/>
      </c>
      <c r="W12" s="26">
        <f>SUM(W9:W11)</f>
        <v/>
      </c>
      <c r="X12" s="26">
        <f>SUM(X9:X11)</f>
        <v/>
      </c>
      <c r="Y12" s="26">
        <f>SUM(Y9:Y11)</f>
        <v/>
      </c>
      <c r="Z12" s="26">
        <f>SUM(Z9:Z11)</f>
        <v/>
      </c>
      <c r="AA12" s="26">
        <f>SUM(AA9:AA11)</f>
        <v/>
      </c>
      <c r="AB12" s="26">
        <f>SUM(AB9:AB11)</f>
        <v/>
      </c>
      <c r="AC12" s="26">
        <f>SUM(AC9:AC11)</f>
        <v/>
      </c>
      <c r="AD12" s="26">
        <f>SUM(AD9:AD11)</f>
        <v/>
      </c>
      <c r="AE12" s="26">
        <f>SUM(AE9:AE11)</f>
        <v/>
      </c>
      <c r="AF12" s="26">
        <f>SUM(AF9:AF11)</f>
        <v/>
      </c>
      <c r="AG12" s="26">
        <f>SUM(AG9:AG11)</f>
        <v/>
      </c>
      <c r="AH12" s="26">
        <f>SUM(AH9:AH11)</f>
        <v/>
      </c>
      <c r="AI12" s="26">
        <f>SUM(AI9:AI11)</f>
        <v/>
      </c>
      <c r="AJ12" s="26">
        <f>SUM(AJ9:AJ11)</f>
        <v/>
      </c>
      <c r="AK12" s="26">
        <f>SUM(AK9:AK11)</f>
        <v/>
      </c>
      <c r="AL12" s="26">
        <f>SUM(AL9:AL11)</f>
        <v/>
      </c>
      <c r="AN12" s="26">
        <f>SUMIF($C$5:$AL$5,AN$5,C12:AL12)</f>
        <v/>
      </c>
      <c r="AO12" s="26">
        <f>SUMIF($C$5:$AL$5,AO$5,C12:AL12)</f>
        <v/>
      </c>
      <c r="AP12" s="26">
        <f>SUMIF($C$5:$AL$5,AP$5,C12:AL12)</f>
        <v/>
      </c>
      <c r="AQ12" s="26">
        <f>SUM(C12:AL12)</f>
        <v/>
      </c>
    </row>
    <row r="13">
      <c r="A13" s="22" t="inlineStr">
        <is>
          <t>Payments — cost of sales</t>
        </is>
      </c>
      <c r="B13" s="4" t="inlineStr"/>
      <c r="C13" s="19">
        <f>-'Cost of sales'!C12</f>
        <v/>
      </c>
      <c r="D13" s="19">
        <f>-'Cost of sales'!D12</f>
        <v/>
      </c>
      <c r="E13" s="19">
        <f>-'Cost of sales'!E12</f>
        <v/>
      </c>
      <c r="F13" s="19">
        <f>-'Cost of sales'!F12</f>
        <v/>
      </c>
      <c r="G13" s="19">
        <f>-'Cost of sales'!G12</f>
        <v/>
      </c>
      <c r="H13" s="19">
        <f>-'Cost of sales'!H12</f>
        <v/>
      </c>
      <c r="I13" s="19">
        <f>-'Cost of sales'!I12</f>
        <v/>
      </c>
      <c r="J13" s="19">
        <f>-'Cost of sales'!J12</f>
        <v/>
      </c>
      <c r="K13" s="19">
        <f>-'Cost of sales'!K12</f>
        <v/>
      </c>
      <c r="L13" s="19">
        <f>-'Cost of sales'!L12</f>
        <v/>
      </c>
      <c r="M13" s="19">
        <f>-'Cost of sales'!M12</f>
        <v/>
      </c>
      <c r="N13" s="19">
        <f>-'Cost of sales'!N12</f>
        <v/>
      </c>
      <c r="O13" s="19">
        <f>-'Cost of sales'!O12</f>
        <v/>
      </c>
      <c r="P13" s="19">
        <f>-'Cost of sales'!P12</f>
        <v/>
      </c>
      <c r="Q13" s="19">
        <f>-'Cost of sales'!Q12</f>
        <v/>
      </c>
      <c r="R13" s="19">
        <f>-'Cost of sales'!R12</f>
        <v/>
      </c>
      <c r="S13" s="19">
        <f>-'Cost of sales'!S12</f>
        <v/>
      </c>
      <c r="T13" s="19">
        <f>-'Cost of sales'!T12</f>
        <v/>
      </c>
      <c r="U13" s="19">
        <f>-'Cost of sales'!U12</f>
        <v/>
      </c>
      <c r="V13" s="19">
        <f>-'Cost of sales'!V12</f>
        <v/>
      </c>
      <c r="W13" s="19">
        <f>-'Cost of sales'!W12</f>
        <v/>
      </c>
      <c r="X13" s="19">
        <f>-'Cost of sales'!X12</f>
        <v/>
      </c>
      <c r="Y13" s="19">
        <f>-'Cost of sales'!Y12</f>
        <v/>
      </c>
      <c r="Z13" s="19">
        <f>-'Cost of sales'!Z12</f>
        <v/>
      </c>
      <c r="AA13" s="19">
        <f>-'Cost of sales'!AA12</f>
        <v/>
      </c>
      <c r="AB13" s="19">
        <f>-'Cost of sales'!AB12</f>
        <v/>
      </c>
      <c r="AC13" s="19">
        <f>-'Cost of sales'!AC12</f>
        <v/>
      </c>
      <c r="AD13" s="19">
        <f>-'Cost of sales'!AD12</f>
        <v/>
      </c>
      <c r="AE13" s="19">
        <f>-'Cost of sales'!AE12</f>
        <v/>
      </c>
      <c r="AF13" s="19">
        <f>-'Cost of sales'!AF12</f>
        <v/>
      </c>
      <c r="AG13" s="19">
        <f>-'Cost of sales'!AG12</f>
        <v/>
      </c>
      <c r="AH13" s="19">
        <f>-'Cost of sales'!AH12</f>
        <v/>
      </c>
      <c r="AI13" s="19">
        <f>-'Cost of sales'!AI12</f>
        <v/>
      </c>
      <c r="AJ13" s="19">
        <f>-'Cost of sales'!AJ12</f>
        <v/>
      </c>
      <c r="AK13" s="19">
        <f>-'Cost of sales'!AK12</f>
        <v/>
      </c>
      <c r="AL13" s="19">
        <f>-'Cost of sales'!AL12</f>
        <v/>
      </c>
      <c r="AN13" s="19">
        <f>SUMIF($C$5:$AL$5,AN$5,C13:AL13)</f>
        <v/>
      </c>
      <c r="AO13" s="19">
        <f>SUMIF($C$5:$AL$5,AO$5,C13:AL13)</f>
        <v/>
      </c>
      <c r="AP13" s="19">
        <f>SUMIF($C$5:$AL$5,AP$5,C13:AL13)</f>
        <v/>
      </c>
      <c r="AQ13" s="19">
        <f>SUM(C13:AL13)</f>
        <v/>
      </c>
    </row>
    <row r="14">
      <c r="A14" s="22" t="inlineStr">
        <is>
          <t>Payments — operating expenses</t>
        </is>
      </c>
      <c r="B14" s="4" t="inlineStr"/>
      <c r="C14" s="19">
        <f>-'Opex'!C30</f>
        <v/>
      </c>
      <c r="D14" s="19">
        <f>-'Opex'!D30</f>
        <v/>
      </c>
      <c r="E14" s="19">
        <f>-'Opex'!E30</f>
        <v/>
      </c>
      <c r="F14" s="19">
        <f>-'Opex'!F30</f>
        <v/>
      </c>
      <c r="G14" s="19">
        <f>-'Opex'!G30</f>
        <v/>
      </c>
      <c r="H14" s="19">
        <f>-'Opex'!H30</f>
        <v/>
      </c>
      <c r="I14" s="19">
        <f>-'Opex'!I30</f>
        <v/>
      </c>
      <c r="J14" s="19">
        <f>-'Opex'!J30</f>
        <v/>
      </c>
      <c r="K14" s="19">
        <f>-'Opex'!K30</f>
        <v/>
      </c>
      <c r="L14" s="19">
        <f>-'Opex'!L30</f>
        <v/>
      </c>
      <c r="M14" s="19">
        <f>-'Opex'!M30</f>
        <v/>
      </c>
      <c r="N14" s="19">
        <f>-'Opex'!N30</f>
        <v/>
      </c>
      <c r="O14" s="19">
        <f>-'Opex'!O30</f>
        <v/>
      </c>
      <c r="P14" s="19">
        <f>-'Opex'!P30</f>
        <v/>
      </c>
      <c r="Q14" s="19">
        <f>-'Opex'!Q30</f>
        <v/>
      </c>
      <c r="R14" s="19">
        <f>-'Opex'!R30</f>
        <v/>
      </c>
      <c r="S14" s="19">
        <f>-'Opex'!S30</f>
        <v/>
      </c>
      <c r="T14" s="19">
        <f>-'Opex'!T30</f>
        <v/>
      </c>
      <c r="U14" s="19">
        <f>-'Opex'!U30</f>
        <v/>
      </c>
      <c r="V14" s="19">
        <f>-'Opex'!V30</f>
        <v/>
      </c>
      <c r="W14" s="19">
        <f>-'Opex'!W30</f>
        <v/>
      </c>
      <c r="X14" s="19">
        <f>-'Opex'!X30</f>
        <v/>
      </c>
      <c r="Y14" s="19">
        <f>-'Opex'!Y30</f>
        <v/>
      </c>
      <c r="Z14" s="19">
        <f>-'Opex'!Z30</f>
        <v/>
      </c>
      <c r="AA14" s="19">
        <f>-'Opex'!AA30</f>
        <v/>
      </c>
      <c r="AB14" s="19">
        <f>-'Opex'!AB30</f>
        <v/>
      </c>
      <c r="AC14" s="19">
        <f>-'Opex'!AC30</f>
        <v/>
      </c>
      <c r="AD14" s="19">
        <f>-'Opex'!AD30</f>
        <v/>
      </c>
      <c r="AE14" s="19">
        <f>-'Opex'!AE30</f>
        <v/>
      </c>
      <c r="AF14" s="19">
        <f>-'Opex'!AF30</f>
        <v/>
      </c>
      <c r="AG14" s="19">
        <f>-'Opex'!AG30</f>
        <v/>
      </c>
      <c r="AH14" s="19">
        <f>-'Opex'!AH30</f>
        <v/>
      </c>
      <c r="AI14" s="19">
        <f>-'Opex'!AI30</f>
        <v/>
      </c>
      <c r="AJ14" s="19">
        <f>-'Opex'!AJ30</f>
        <v/>
      </c>
      <c r="AK14" s="19">
        <f>-'Opex'!AK30</f>
        <v/>
      </c>
      <c r="AL14" s="19">
        <f>-'Opex'!AL30</f>
        <v/>
      </c>
      <c r="AN14" s="19">
        <f>SUMIF($C$5:$AL$5,AN$5,C14:AL14)</f>
        <v/>
      </c>
      <c r="AO14" s="19">
        <f>SUMIF($C$5:$AL$5,AO$5,C14:AL14)</f>
        <v/>
      </c>
      <c r="AP14" s="19">
        <f>SUMIF($C$5:$AL$5,AP$5,C14:AL14)</f>
        <v/>
      </c>
      <c r="AQ14" s="19">
        <f>SUM(C14:AL14)</f>
        <v/>
      </c>
    </row>
    <row r="15">
      <c r="A15" s="7" t="inlineStr">
        <is>
          <t>NET OPERATING CASH FLOW</t>
        </is>
      </c>
      <c r="B15" s="4" t="inlineStr"/>
      <c r="C15" s="26">
        <f>'Cash flow'!C12+'Cash flow'!C13+'Cash flow'!C14</f>
        <v/>
      </c>
      <c r="D15" s="26">
        <f>'Cash flow'!D12+'Cash flow'!D13+'Cash flow'!D14</f>
        <v/>
      </c>
      <c r="E15" s="26">
        <f>'Cash flow'!E12+'Cash flow'!E13+'Cash flow'!E14</f>
        <v/>
      </c>
      <c r="F15" s="26">
        <f>'Cash flow'!F12+'Cash flow'!F13+'Cash flow'!F14</f>
        <v/>
      </c>
      <c r="G15" s="26">
        <f>'Cash flow'!G12+'Cash flow'!G13+'Cash flow'!G14</f>
        <v/>
      </c>
      <c r="H15" s="26">
        <f>'Cash flow'!H12+'Cash flow'!H13+'Cash flow'!H14</f>
        <v/>
      </c>
      <c r="I15" s="26">
        <f>'Cash flow'!I12+'Cash flow'!I13+'Cash flow'!I14</f>
        <v/>
      </c>
      <c r="J15" s="26">
        <f>'Cash flow'!J12+'Cash flow'!J13+'Cash flow'!J14</f>
        <v/>
      </c>
      <c r="K15" s="26">
        <f>'Cash flow'!K12+'Cash flow'!K13+'Cash flow'!K14</f>
        <v/>
      </c>
      <c r="L15" s="26">
        <f>'Cash flow'!L12+'Cash flow'!L13+'Cash flow'!L14</f>
        <v/>
      </c>
      <c r="M15" s="26">
        <f>'Cash flow'!M12+'Cash flow'!M13+'Cash flow'!M14</f>
        <v/>
      </c>
      <c r="N15" s="26">
        <f>'Cash flow'!N12+'Cash flow'!N13+'Cash flow'!N14</f>
        <v/>
      </c>
      <c r="O15" s="26">
        <f>'Cash flow'!O12+'Cash flow'!O13+'Cash flow'!O14</f>
        <v/>
      </c>
      <c r="P15" s="26">
        <f>'Cash flow'!P12+'Cash flow'!P13+'Cash flow'!P14</f>
        <v/>
      </c>
      <c r="Q15" s="26">
        <f>'Cash flow'!Q12+'Cash flow'!Q13+'Cash flow'!Q14</f>
        <v/>
      </c>
      <c r="R15" s="26">
        <f>'Cash flow'!R12+'Cash flow'!R13+'Cash flow'!R14</f>
        <v/>
      </c>
      <c r="S15" s="26">
        <f>'Cash flow'!S12+'Cash flow'!S13+'Cash flow'!S14</f>
        <v/>
      </c>
      <c r="T15" s="26">
        <f>'Cash flow'!T12+'Cash flow'!T13+'Cash flow'!T14</f>
        <v/>
      </c>
      <c r="U15" s="26">
        <f>'Cash flow'!U12+'Cash flow'!U13+'Cash flow'!U14</f>
        <v/>
      </c>
      <c r="V15" s="26">
        <f>'Cash flow'!V12+'Cash flow'!V13+'Cash flow'!V14</f>
        <v/>
      </c>
      <c r="W15" s="26">
        <f>'Cash flow'!W12+'Cash flow'!W13+'Cash flow'!W14</f>
        <v/>
      </c>
      <c r="X15" s="26">
        <f>'Cash flow'!X12+'Cash flow'!X13+'Cash flow'!X14</f>
        <v/>
      </c>
      <c r="Y15" s="26">
        <f>'Cash flow'!Y12+'Cash flow'!Y13+'Cash flow'!Y14</f>
        <v/>
      </c>
      <c r="Z15" s="26">
        <f>'Cash flow'!Z12+'Cash flow'!Z13+'Cash flow'!Z14</f>
        <v/>
      </c>
      <c r="AA15" s="26">
        <f>'Cash flow'!AA12+'Cash flow'!AA13+'Cash flow'!AA14</f>
        <v/>
      </c>
      <c r="AB15" s="26">
        <f>'Cash flow'!AB12+'Cash flow'!AB13+'Cash flow'!AB14</f>
        <v/>
      </c>
      <c r="AC15" s="26">
        <f>'Cash flow'!AC12+'Cash flow'!AC13+'Cash flow'!AC14</f>
        <v/>
      </c>
      <c r="AD15" s="26">
        <f>'Cash flow'!AD12+'Cash flow'!AD13+'Cash flow'!AD14</f>
        <v/>
      </c>
      <c r="AE15" s="26">
        <f>'Cash flow'!AE12+'Cash flow'!AE13+'Cash flow'!AE14</f>
        <v/>
      </c>
      <c r="AF15" s="26">
        <f>'Cash flow'!AF12+'Cash flow'!AF13+'Cash flow'!AF14</f>
        <v/>
      </c>
      <c r="AG15" s="26">
        <f>'Cash flow'!AG12+'Cash flow'!AG13+'Cash flow'!AG14</f>
        <v/>
      </c>
      <c r="AH15" s="26">
        <f>'Cash flow'!AH12+'Cash flow'!AH13+'Cash flow'!AH14</f>
        <v/>
      </c>
      <c r="AI15" s="26">
        <f>'Cash flow'!AI12+'Cash flow'!AI13+'Cash flow'!AI14</f>
        <v/>
      </c>
      <c r="AJ15" s="26">
        <f>'Cash flow'!AJ12+'Cash flow'!AJ13+'Cash flow'!AJ14</f>
        <v/>
      </c>
      <c r="AK15" s="26">
        <f>'Cash flow'!AK12+'Cash flow'!AK13+'Cash flow'!AK14</f>
        <v/>
      </c>
      <c r="AL15" s="26">
        <f>'Cash flow'!AL12+'Cash flow'!AL13+'Cash flow'!AL14</f>
        <v/>
      </c>
      <c r="AN15" s="26">
        <f>SUMIF($C$5:$AL$5,AN$5,C15:AL15)</f>
        <v/>
      </c>
      <c r="AO15" s="26">
        <f>SUMIF($C$5:$AL$5,AO$5,C15:AL15)</f>
        <v/>
      </c>
      <c r="AP15" s="26">
        <f>SUMIF($C$5:$AL$5,AP$5,C15:AL15)</f>
        <v/>
      </c>
      <c r="AQ15" s="26">
        <f>SUM(C15:AL15)</f>
        <v/>
      </c>
    </row>
    <row r="17">
      <c r="A17" s="9" t="inlineStr">
        <is>
          <t>FUNDING INJECTIONS (by round / month)</t>
        </is>
      </c>
      <c r="B17" s="10" t="n"/>
      <c r="C17" s="10" t="n"/>
      <c r="D17" s="10" t="n"/>
      <c r="E17" s="10" t="n"/>
      <c r="F17" s="10" t="n"/>
      <c r="G17" s="10" t="n"/>
      <c r="H17" s="10" t="n"/>
      <c r="I17" s="10" t="n"/>
      <c r="J17" s="10" t="n"/>
      <c r="K17" s="10" t="n"/>
      <c r="L17" s="10" t="n"/>
      <c r="M17" s="10" t="n"/>
      <c r="N17" s="10" t="n"/>
      <c r="O17" s="10" t="n"/>
      <c r="P17" s="10" t="n"/>
      <c r="Q17" s="10" t="n"/>
      <c r="R17" s="10" t="n"/>
      <c r="S17" s="10" t="n"/>
      <c r="T17" s="10" t="n"/>
      <c r="U17" s="10" t="n"/>
      <c r="V17" s="10" t="n"/>
      <c r="W17" s="10" t="n"/>
      <c r="X17" s="10" t="n"/>
      <c r="Y17" s="10" t="n"/>
      <c r="Z17" s="10" t="n"/>
      <c r="AA17" s="10" t="n"/>
      <c r="AB17" s="10" t="n"/>
      <c r="AC17" s="10" t="n"/>
      <c r="AD17" s="10" t="n"/>
      <c r="AE17" s="10" t="n"/>
      <c r="AF17" s="10" t="n"/>
      <c r="AG17" s="10" t="n"/>
      <c r="AH17" s="10" t="n"/>
      <c r="AI17" s="10" t="n"/>
      <c r="AJ17" s="10" t="n"/>
      <c r="AK17" s="10" t="n"/>
      <c r="AL17" s="10" t="n"/>
      <c r="AM17" s="10" t="n"/>
      <c r="AN17" s="10" t="n"/>
      <c r="AO17" s="10" t="n"/>
      <c r="AP17" s="10" t="n"/>
      <c r="AQ17" s="10" t="n"/>
    </row>
    <row r="18">
      <c r="A18" s="22" t="inlineStr">
        <is>
          <t>Grant receipts (non-dilutive; TO VALIDATE)</t>
        </is>
      </c>
      <c r="B18" s="4" t="inlineStr"/>
      <c r="C18" s="19">
        <f>IF(C3=Assumptions!$F$128,Assumptions!$F$127,0)+IF(C3=Assumptions!$F$130,Assumptions!$F$129,0)</f>
        <v/>
      </c>
      <c r="D18" s="19">
        <f>IF(D3=Assumptions!$F$128,Assumptions!$F$127,0)+IF(D3=Assumptions!$F$130,Assumptions!$F$129,0)</f>
        <v/>
      </c>
      <c r="E18" s="19">
        <f>IF(E3=Assumptions!$F$128,Assumptions!$F$127,0)+IF(E3=Assumptions!$F$130,Assumptions!$F$129,0)</f>
        <v/>
      </c>
      <c r="F18" s="19">
        <f>IF(F3=Assumptions!$F$128,Assumptions!$F$127,0)+IF(F3=Assumptions!$F$130,Assumptions!$F$129,0)</f>
        <v/>
      </c>
      <c r="G18" s="19">
        <f>IF(G3=Assumptions!$F$128,Assumptions!$F$127,0)+IF(G3=Assumptions!$F$130,Assumptions!$F$129,0)</f>
        <v/>
      </c>
      <c r="H18" s="19">
        <f>IF(H3=Assumptions!$F$128,Assumptions!$F$127,0)+IF(H3=Assumptions!$F$130,Assumptions!$F$129,0)</f>
        <v/>
      </c>
      <c r="I18" s="19">
        <f>IF(I3=Assumptions!$F$128,Assumptions!$F$127,0)+IF(I3=Assumptions!$F$130,Assumptions!$F$129,0)</f>
        <v/>
      </c>
      <c r="J18" s="19">
        <f>IF(J3=Assumptions!$F$128,Assumptions!$F$127,0)+IF(J3=Assumptions!$F$130,Assumptions!$F$129,0)</f>
        <v/>
      </c>
      <c r="K18" s="19">
        <f>IF(K3=Assumptions!$F$128,Assumptions!$F$127,0)+IF(K3=Assumptions!$F$130,Assumptions!$F$129,0)</f>
        <v/>
      </c>
      <c r="L18" s="19">
        <f>IF(L3=Assumptions!$F$128,Assumptions!$F$127,0)+IF(L3=Assumptions!$F$130,Assumptions!$F$129,0)</f>
        <v/>
      </c>
      <c r="M18" s="19">
        <f>IF(M3=Assumptions!$F$128,Assumptions!$F$127,0)+IF(M3=Assumptions!$F$130,Assumptions!$F$129,0)</f>
        <v/>
      </c>
      <c r="N18" s="19">
        <f>IF(N3=Assumptions!$F$128,Assumptions!$F$127,0)+IF(N3=Assumptions!$F$130,Assumptions!$F$129,0)</f>
        <v/>
      </c>
      <c r="O18" s="19">
        <f>IF(O3=Assumptions!$F$128,Assumptions!$F$127,0)+IF(O3=Assumptions!$F$130,Assumptions!$F$129,0)</f>
        <v/>
      </c>
      <c r="P18" s="19">
        <f>IF(P3=Assumptions!$F$128,Assumptions!$F$127,0)+IF(P3=Assumptions!$F$130,Assumptions!$F$129,0)</f>
        <v/>
      </c>
      <c r="Q18" s="19">
        <f>IF(Q3=Assumptions!$F$128,Assumptions!$F$127,0)+IF(Q3=Assumptions!$F$130,Assumptions!$F$129,0)</f>
        <v/>
      </c>
      <c r="R18" s="19">
        <f>IF(R3=Assumptions!$F$128,Assumptions!$F$127,0)+IF(R3=Assumptions!$F$130,Assumptions!$F$129,0)</f>
        <v/>
      </c>
      <c r="S18" s="19">
        <f>IF(S3=Assumptions!$F$128,Assumptions!$F$127,0)+IF(S3=Assumptions!$F$130,Assumptions!$F$129,0)</f>
        <v/>
      </c>
      <c r="T18" s="19">
        <f>IF(T3=Assumptions!$F$128,Assumptions!$F$127,0)+IF(T3=Assumptions!$F$130,Assumptions!$F$129,0)</f>
        <v/>
      </c>
      <c r="U18" s="19">
        <f>IF(U3=Assumptions!$F$128,Assumptions!$F$127,0)+IF(U3=Assumptions!$F$130,Assumptions!$F$129,0)</f>
        <v/>
      </c>
      <c r="V18" s="19">
        <f>IF(V3=Assumptions!$F$128,Assumptions!$F$127,0)+IF(V3=Assumptions!$F$130,Assumptions!$F$129,0)</f>
        <v/>
      </c>
      <c r="W18" s="19">
        <f>IF(W3=Assumptions!$F$128,Assumptions!$F$127,0)+IF(W3=Assumptions!$F$130,Assumptions!$F$129,0)</f>
        <v/>
      </c>
      <c r="X18" s="19">
        <f>IF(X3=Assumptions!$F$128,Assumptions!$F$127,0)+IF(X3=Assumptions!$F$130,Assumptions!$F$129,0)</f>
        <v/>
      </c>
      <c r="Y18" s="19">
        <f>IF(Y3=Assumptions!$F$128,Assumptions!$F$127,0)+IF(Y3=Assumptions!$F$130,Assumptions!$F$129,0)</f>
        <v/>
      </c>
      <c r="Z18" s="19">
        <f>IF(Z3=Assumptions!$F$128,Assumptions!$F$127,0)+IF(Z3=Assumptions!$F$130,Assumptions!$F$129,0)</f>
        <v/>
      </c>
      <c r="AA18" s="19">
        <f>IF(AA3=Assumptions!$F$128,Assumptions!$F$127,0)+IF(AA3=Assumptions!$F$130,Assumptions!$F$129,0)</f>
        <v/>
      </c>
      <c r="AB18" s="19">
        <f>IF(AB3=Assumptions!$F$128,Assumptions!$F$127,0)+IF(AB3=Assumptions!$F$130,Assumptions!$F$129,0)</f>
        <v/>
      </c>
      <c r="AC18" s="19">
        <f>IF(AC3=Assumptions!$F$128,Assumptions!$F$127,0)+IF(AC3=Assumptions!$F$130,Assumptions!$F$129,0)</f>
        <v/>
      </c>
      <c r="AD18" s="19">
        <f>IF(AD3=Assumptions!$F$128,Assumptions!$F$127,0)+IF(AD3=Assumptions!$F$130,Assumptions!$F$129,0)</f>
        <v/>
      </c>
      <c r="AE18" s="19">
        <f>IF(AE3=Assumptions!$F$128,Assumptions!$F$127,0)+IF(AE3=Assumptions!$F$130,Assumptions!$F$129,0)</f>
        <v/>
      </c>
      <c r="AF18" s="19">
        <f>IF(AF3=Assumptions!$F$128,Assumptions!$F$127,0)+IF(AF3=Assumptions!$F$130,Assumptions!$F$129,0)</f>
        <v/>
      </c>
      <c r="AG18" s="19">
        <f>IF(AG3=Assumptions!$F$128,Assumptions!$F$127,0)+IF(AG3=Assumptions!$F$130,Assumptions!$F$129,0)</f>
        <v/>
      </c>
      <c r="AH18" s="19">
        <f>IF(AH3=Assumptions!$F$128,Assumptions!$F$127,0)+IF(AH3=Assumptions!$F$130,Assumptions!$F$129,0)</f>
        <v/>
      </c>
      <c r="AI18" s="19">
        <f>IF(AI3=Assumptions!$F$128,Assumptions!$F$127,0)+IF(AI3=Assumptions!$F$130,Assumptions!$F$129,0)</f>
        <v/>
      </c>
      <c r="AJ18" s="19">
        <f>IF(AJ3=Assumptions!$F$128,Assumptions!$F$127,0)+IF(AJ3=Assumptions!$F$130,Assumptions!$F$129,0)</f>
        <v/>
      </c>
      <c r="AK18" s="19">
        <f>IF(AK3=Assumptions!$F$128,Assumptions!$F$127,0)+IF(AK3=Assumptions!$F$130,Assumptions!$F$129,0)</f>
        <v/>
      </c>
      <c r="AL18" s="19">
        <f>IF(AL3=Assumptions!$F$128,Assumptions!$F$127,0)+IF(AL3=Assumptions!$F$130,Assumptions!$F$129,0)</f>
        <v/>
      </c>
      <c r="AN18" s="19">
        <f>SUMIF($C$5:$AL$5,AN$5,C18:AL18)</f>
        <v/>
      </c>
      <c r="AO18" s="19">
        <f>SUMIF($C$5:$AL$5,AO$5,C18:AL18)</f>
        <v/>
      </c>
      <c r="AP18" s="19">
        <f>SUMIF($C$5:$AL$5,AP$5,C18:AL18)</f>
        <v/>
      </c>
      <c r="AQ18" s="19">
        <f>SUM(C18:AL18)</f>
        <v/>
      </c>
    </row>
    <row r="19">
      <c r="A19" s="22" t="inlineStr">
        <is>
          <t>Pre-seed equity (SEIS/EIS angels)</t>
        </is>
      </c>
      <c r="B19" s="4" t="inlineStr"/>
      <c r="C19" s="19">
        <f>IF(C3=Assumptions!$F$122,Assumptions!$F$121,0)</f>
        <v/>
      </c>
      <c r="D19" s="19">
        <f>IF(D3=Assumptions!$F$122,Assumptions!$F$121,0)</f>
        <v/>
      </c>
      <c r="E19" s="19">
        <f>IF(E3=Assumptions!$F$122,Assumptions!$F$121,0)</f>
        <v/>
      </c>
      <c r="F19" s="19">
        <f>IF(F3=Assumptions!$F$122,Assumptions!$F$121,0)</f>
        <v/>
      </c>
      <c r="G19" s="19">
        <f>IF(G3=Assumptions!$F$122,Assumptions!$F$121,0)</f>
        <v/>
      </c>
      <c r="H19" s="19">
        <f>IF(H3=Assumptions!$F$122,Assumptions!$F$121,0)</f>
        <v/>
      </c>
      <c r="I19" s="19">
        <f>IF(I3=Assumptions!$F$122,Assumptions!$F$121,0)</f>
        <v/>
      </c>
      <c r="J19" s="19">
        <f>IF(J3=Assumptions!$F$122,Assumptions!$F$121,0)</f>
        <v/>
      </c>
      <c r="K19" s="19">
        <f>IF(K3=Assumptions!$F$122,Assumptions!$F$121,0)</f>
        <v/>
      </c>
      <c r="L19" s="19">
        <f>IF(L3=Assumptions!$F$122,Assumptions!$F$121,0)</f>
        <v/>
      </c>
      <c r="M19" s="19">
        <f>IF(M3=Assumptions!$F$122,Assumptions!$F$121,0)</f>
        <v/>
      </c>
      <c r="N19" s="19">
        <f>IF(N3=Assumptions!$F$122,Assumptions!$F$121,0)</f>
        <v/>
      </c>
      <c r="O19" s="19">
        <f>IF(O3=Assumptions!$F$122,Assumptions!$F$121,0)</f>
        <v/>
      </c>
      <c r="P19" s="19">
        <f>IF(P3=Assumptions!$F$122,Assumptions!$F$121,0)</f>
        <v/>
      </c>
      <c r="Q19" s="19">
        <f>IF(Q3=Assumptions!$F$122,Assumptions!$F$121,0)</f>
        <v/>
      </c>
      <c r="R19" s="19">
        <f>IF(R3=Assumptions!$F$122,Assumptions!$F$121,0)</f>
        <v/>
      </c>
      <c r="S19" s="19">
        <f>IF(S3=Assumptions!$F$122,Assumptions!$F$121,0)</f>
        <v/>
      </c>
      <c r="T19" s="19">
        <f>IF(T3=Assumptions!$F$122,Assumptions!$F$121,0)</f>
        <v/>
      </c>
      <c r="U19" s="19">
        <f>IF(U3=Assumptions!$F$122,Assumptions!$F$121,0)</f>
        <v/>
      </c>
      <c r="V19" s="19">
        <f>IF(V3=Assumptions!$F$122,Assumptions!$F$121,0)</f>
        <v/>
      </c>
      <c r="W19" s="19">
        <f>IF(W3=Assumptions!$F$122,Assumptions!$F$121,0)</f>
        <v/>
      </c>
      <c r="X19" s="19">
        <f>IF(X3=Assumptions!$F$122,Assumptions!$F$121,0)</f>
        <v/>
      </c>
      <c r="Y19" s="19">
        <f>IF(Y3=Assumptions!$F$122,Assumptions!$F$121,0)</f>
        <v/>
      </c>
      <c r="Z19" s="19">
        <f>IF(Z3=Assumptions!$F$122,Assumptions!$F$121,0)</f>
        <v/>
      </c>
      <c r="AA19" s="19">
        <f>IF(AA3=Assumptions!$F$122,Assumptions!$F$121,0)</f>
        <v/>
      </c>
      <c r="AB19" s="19">
        <f>IF(AB3=Assumptions!$F$122,Assumptions!$F$121,0)</f>
        <v/>
      </c>
      <c r="AC19" s="19">
        <f>IF(AC3=Assumptions!$F$122,Assumptions!$F$121,0)</f>
        <v/>
      </c>
      <c r="AD19" s="19">
        <f>IF(AD3=Assumptions!$F$122,Assumptions!$F$121,0)</f>
        <v/>
      </c>
      <c r="AE19" s="19">
        <f>IF(AE3=Assumptions!$F$122,Assumptions!$F$121,0)</f>
        <v/>
      </c>
      <c r="AF19" s="19">
        <f>IF(AF3=Assumptions!$F$122,Assumptions!$F$121,0)</f>
        <v/>
      </c>
      <c r="AG19" s="19">
        <f>IF(AG3=Assumptions!$F$122,Assumptions!$F$121,0)</f>
        <v/>
      </c>
      <c r="AH19" s="19">
        <f>IF(AH3=Assumptions!$F$122,Assumptions!$F$121,0)</f>
        <v/>
      </c>
      <c r="AI19" s="19">
        <f>IF(AI3=Assumptions!$F$122,Assumptions!$F$121,0)</f>
        <v/>
      </c>
      <c r="AJ19" s="19">
        <f>IF(AJ3=Assumptions!$F$122,Assumptions!$F$121,0)</f>
        <v/>
      </c>
      <c r="AK19" s="19">
        <f>IF(AK3=Assumptions!$F$122,Assumptions!$F$121,0)</f>
        <v/>
      </c>
      <c r="AL19" s="19">
        <f>IF(AL3=Assumptions!$F$122,Assumptions!$F$121,0)</f>
        <v/>
      </c>
      <c r="AN19" s="19">
        <f>SUMIF($C$5:$AL$5,AN$5,C19:AL19)</f>
        <v/>
      </c>
      <c r="AO19" s="19">
        <f>SUMIF($C$5:$AL$5,AO$5,C19:AL19)</f>
        <v/>
      </c>
      <c r="AP19" s="19">
        <f>SUMIF($C$5:$AL$5,AP$5,C19:AL19)</f>
        <v/>
      </c>
      <c r="AQ19" s="19">
        <f>SUM(C19:AL19)</f>
        <v/>
      </c>
    </row>
    <row r="20">
      <c r="A20" s="22" t="inlineStr">
        <is>
          <t>Seed equity</t>
        </is>
      </c>
      <c r="B20" s="4" t="inlineStr"/>
      <c r="C20" s="19">
        <f>IF(C3=Assumptions!$F$124,Assumptions!$F$123,0)</f>
        <v/>
      </c>
      <c r="D20" s="19">
        <f>IF(D3=Assumptions!$F$124,Assumptions!$F$123,0)</f>
        <v/>
      </c>
      <c r="E20" s="19">
        <f>IF(E3=Assumptions!$F$124,Assumptions!$F$123,0)</f>
        <v/>
      </c>
      <c r="F20" s="19">
        <f>IF(F3=Assumptions!$F$124,Assumptions!$F$123,0)</f>
        <v/>
      </c>
      <c r="G20" s="19">
        <f>IF(G3=Assumptions!$F$124,Assumptions!$F$123,0)</f>
        <v/>
      </c>
      <c r="H20" s="19">
        <f>IF(H3=Assumptions!$F$124,Assumptions!$F$123,0)</f>
        <v/>
      </c>
      <c r="I20" s="19">
        <f>IF(I3=Assumptions!$F$124,Assumptions!$F$123,0)</f>
        <v/>
      </c>
      <c r="J20" s="19">
        <f>IF(J3=Assumptions!$F$124,Assumptions!$F$123,0)</f>
        <v/>
      </c>
      <c r="K20" s="19">
        <f>IF(K3=Assumptions!$F$124,Assumptions!$F$123,0)</f>
        <v/>
      </c>
      <c r="L20" s="19">
        <f>IF(L3=Assumptions!$F$124,Assumptions!$F$123,0)</f>
        <v/>
      </c>
      <c r="M20" s="19">
        <f>IF(M3=Assumptions!$F$124,Assumptions!$F$123,0)</f>
        <v/>
      </c>
      <c r="N20" s="19">
        <f>IF(N3=Assumptions!$F$124,Assumptions!$F$123,0)</f>
        <v/>
      </c>
      <c r="O20" s="19">
        <f>IF(O3=Assumptions!$F$124,Assumptions!$F$123,0)</f>
        <v/>
      </c>
      <c r="P20" s="19">
        <f>IF(P3=Assumptions!$F$124,Assumptions!$F$123,0)</f>
        <v/>
      </c>
      <c r="Q20" s="19">
        <f>IF(Q3=Assumptions!$F$124,Assumptions!$F$123,0)</f>
        <v/>
      </c>
      <c r="R20" s="19">
        <f>IF(R3=Assumptions!$F$124,Assumptions!$F$123,0)</f>
        <v/>
      </c>
      <c r="S20" s="19">
        <f>IF(S3=Assumptions!$F$124,Assumptions!$F$123,0)</f>
        <v/>
      </c>
      <c r="T20" s="19">
        <f>IF(T3=Assumptions!$F$124,Assumptions!$F$123,0)</f>
        <v/>
      </c>
      <c r="U20" s="19">
        <f>IF(U3=Assumptions!$F$124,Assumptions!$F$123,0)</f>
        <v/>
      </c>
      <c r="V20" s="19">
        <f>IF(V3=Assumptions!$F$124,Assumptions!$F$123,0)</f>
        <v/>
      </c>
      <c r="W20" s="19">
        <f>IF(W3=Assumptions!$F$124,Assumptions!$F$123,0)</f>
        <v/>
      </c>
      <c r="X20" s="19">
        <f>IF(X3=Assumptions!$F$124,Assumptions!$F$123,0)</f>
        <v/>
      </c>
      <c r="Y20" s="19">
        <f>IF(Y3=Assumptions!$F$124,Assumptions!$F$123,0)</f>
        <v/>
      </c>
      <c r="Z20" s="19">
        <f>IF(Z3=Assumptions!$F$124,Assumptions!$F$123,0)</f>
        <v/>
      </c>
      <c r="AA20" s="19">
        <f>IF(AA3=Assumptions!$F$124,Assumptions!$F$123,0)</f>
        <v/>
      </c>
      <c r="AB20" s="19">
        <f>IF(AB3=Assumptions!$F$124,Assumptions!$F$123,0)</f>
        <v/>
      </c>
      <c r="AC20" s="19">
        <f>IF(AC3=Assumptions!$F$124,Assumptions!$F$123,0)</f>
        <v/>
      </c>
      <c r="AD20" s="19">
        <f>IF(AD3=Assumptions!$F$124,Assumptions!$F$123,0)</f>
        <v/>
      </c>
      <c r="AE20" s="19">
        <f>IF(AE3=Assumptions!$F$124,Assumptions!$F$123,0)</f>
        <v/>
      </c>
      <c r="AF20" s="19">
        <f>IF(AF3=Assumptions!$F$124,Assumptions!$F$123,0)</f>
        <v/>
      </c>
      <c r="AG20" s="19">
        <f>IF(AG3=Assumptions!$F$124,Assumptions!$F$123,0)</f>
        <v/>
      </c>
      <c r="AH20" s="19">
        <f>IF(AH3=Assumptions!$F$124,Assumptions!$F$123,0)</f>
        <v/>
      </c>
      <c r="AI20" s="19">
        <f>IF(AI3=Assumptions!$F$124,Assumptions!$F$123,0)</f>
        <v/>
      </c>
      <c r="AJ20" s="19">
        <f>IF(AJ3=Assumptions!$F$124,Assumptions!$F$123,0)</f>
        <v/>
      </c>
      <c r="AK20" s="19">
        <f>IF(AK3=Assumptions!$F$124,Assumptions!$F$123,0)</f>
        <v/>
      </c>
      <c r="AL20" s="19">
        <f>IF(AL3=Assumptions!$F$124,Assumptions!$F$123,0)</f>
        <v/>
      </c>
      <c r="AN20" s="19">
        <f>SUMIF($C$5:$AL$5,AN$5,C20:AL20)</f>
        <v/>
      </c>
      <c r="AO20" s="19">
        <f>SUMIF($C$5:$AL$5,AO$5,C20:AL20)</f>
        <v/>
      </c>
      <c r="AP20" s="19">
        <f>SUMIF($C$5:$AL$5,AP$5,C20:AL20)</f>
        <v/>
      </c>
      <c r="AQ20" s="19">
        <f>SUM(C20:AL20)</f>
        <v/>
      </c>
    </row>
    <row r="21">
      <c r="A21" s="22" t="inlineStr">
        <is>
          <t>Series A equity</t>
        </is>
      </c>
      <c r="B21" s="4" t="inlineStr"/>
      <c r="C21" s="19">
        <f>IF(C3=Assumptions!$F$126,Assumptions!$F$125,0)</f>
        <v/>
      </c>
      <c r="D21" s="19">
        <f>IF(D3=Assumptions!$F$126,Assumptions!$F$125,0)</f>
        <v/>
      </c>
      <c r="E21" s="19">
        <f>IF(E3=Assumptions!$F$126,Assumptions!$F$125,0)</f>
        <v/>
      </c>
      <c r="F21" s="19">
        <f>IF(F3=Assumptions!$F$126,Assumptions!$F$125,0)</f>
        <v/>
      </c>
      <c r="G21" s="19">
        <f>IF(G3=Assumptions!$F$126,Assumptions!$F$125,0)</f>
        <v/>
      </c>
      <c r="H21" s="19">
        <f>IF(H3=Assumptions!$F$126,Assumptions!$F$125,0)</f>
        <v/>
      </c>
      <c r="I21" s="19">
        <f>IF(I3=Assumptions!$F$126,Assumptions!$F$125,0)</f>
        <v/>
      </c>
      <c r="J21" s="19">
        <f>IF(J3=Assumptions!$F$126,Assumptions!$F$125,0)</f>
        <v/>
      </c>
      <c r="K21" s="19">
        <f>IF(K3=Assumptions!$F$126,Assumptions!$F$125,0)</f>
        <v/>
      </c>
      <c r="L21" s="19">
        <f>IF(L3=Assumptions!$F$126,Assumptions!$F$125,0)</f>
        <v/>
      </c>
      <c r="M21" s="19">
        <f>IF(M3=Assumptions!$F$126,Assumptions!$F$125,0)</f>
        <v/>
      </c>
      <c r="N21" s="19">
        <f>IF(N3=Assumptions!$F$126,Assumptions!$F$125,0)</f>
        <v/>
      </c>
      <c r="O21" s="19">
        <f>IF(O3=Assumptions!$F$126,Assumptions!$F$125,0)</f>
        <v/>
      </c>
      <c r="P21" s="19">
        <f>IF(P3=Assumptions!$F$126,Assumptions!$F$125,0)</f>
        <v/>
      </c>
      <c r="Q21" s="19">
        <f>IF(Q3=Assumptions!$F$126,Assumptions!$F$125,0)</f>
        <v/>
      </c>
      <c r="R21" s="19">
        <f>IF(R3=Assumptions!$F$126,Assumptions!$F$125,0)</f>
        <v/>
      </c>
      <c r="S21" s="19">
        <f>IF(S3=Assumptions!$F$126,Assumptions!$F$125,0)</f>
        <v/>
      </c>
      <c r="T21" s="19">
        <f>IF(T3=Assumptions!$F$126,Assumptions!$F$125,0)</f>
        <v/>
      </c>
      <c r="U21" s="19">
        <f>IF(U3=Assumptions!$F$126,Assumptions!$F$125,0)</f>
        <v/>
      </c>
      <c r="V21" s="19">
        <f>IF(V3=Assumptions!$F$126,Assumptions!$F$125,0)</f>
        <v/>
      </c>
      <c r="W21" s="19">
        <f>IF(W3=Assumptions!$F$126,Assumptions!$F$125,0)</f>
        <v/>
      </c>
      <c r="X21" s="19">
        <f>IF(X3=Assumptions!$F$126,Assumptions!$F$125,0)</f>
        <v/>
      </c>
      <c r="Y21" s="19">
        <f>IF(Y3=Assumptions!$F$126,Assumptions!$F$125,0)</f>
        <v/>
      </c>
      <c r="Z21" s="19">
        <f>IF(Z3=Assumptions!$F$126,Assumptions!$F$125,0)</f>
        <v/>
      </c>
      <c r="AA21" s="19">
        <f>IF(AA3=Assumptions!$F$126,Assumptions!$F$125,0)</f>
        <v/>
      </c>
      <c r="AB21" s="19">
        <f>IF(AB3=Assumptions!$F$126,Assumptions!$F$125,0)</f>
        <v/>
      </c>
      <c r="AC21" s="19">
        <f>IF(AC3=Assumptions!$F$126,Assumptions!$F$125,0)</f>
        <v/>
      </c>
      <c r="AD21" s="19">
        <f>IF(AD3=Assumptions!$F$126,Assumptions!$F$125,0)</f>
        <v/>
      </c>
      <c r="AE21" s="19">
        <f>IF(AE3=Assumptions!$F$126,Assumptions!$F$125,0)</f>
        <v/>
      </c>
      <c r="AF21" s="19">
        <f>IF(AF3=Assumptions!$F$126,Assumptions!$F$125,0)</f>
        <v/>
      </c>
      <c r="AG21" s="19">
        <f>IF(AG3=Assumptions!$F$126,Assumptions!$F$125,0)</f>
        <v/>
      </c>
      <c r="AH21" s="19">
        <f>IF(AH3=Assumptions!$F$126,Assumptions!$F$125,0)</f>
        <v/>
      </c>
      <c r="AI21" s="19">
        <f>IF(AI3=Assumptions!$F$126,Assumptions!$F$125,0)</f>
        <v/>
      </c>
      <c r="AJ21" s="19">
        <f>IF(AJ3=Assumptions!$F$126,Assumptions!$F$125,0)</f>
        <v/>
      </c>
      <c r="AK21" s="19">
        <f>IF(AK3=Assumptions!$F$126,Assumptions!$F$125,0)</f>
        <v/>
      </c>
      <c r="AL21" s="19">
        <f>IF(AL3=Assumptions!$F$126,Assumptions!$F$125,0)</f>
        <v/>
      </c>
      <c r="AN21" s="19">
        <f>SUMIF($C$5:$AL$5,AN$5,C21:AL21)</f>
        <v/>
      </c>
      <c r="AO21" s="19">
        <f>SUMIF($C$5:$AL$5,AO$5,C21:AL21)</f>
        <v/>
      </c>
      <c r="AP21" s="19">
        <f>SUMIF($C$5:$AL$5,AP$5,C21:AL21)</f>
        <v/>
      </c>
      <c r="AQ21" s="19">
        <f>SUM(C21:AL21)</f>
        <v/>
      </c>
    </row>
    <row r="22">
      <c r="A22" s="7" t="inlineStr">
        <is>
          <t>Total funding received</t>
        </is>
      </c>
      <c r="B22" s="4" t="inlineStr"/>
      <c r="C22" s="26">
        <f>SUM(C18:C21)</f>
        <v/>
      </c>
      <c r="D22" s="26">
        <f>SUM(D18:D21)</f>
        <v/>
      </c>
      <c r="E22" s="26">
        <f>SUM(E18:E21)</f>
        <v/>
      </c>
      <c r="F22" s="26">
        <f>SUM(F18:F21)</f>
        <v/>
      </c>
      <c r="G22" s="26">
        <f>SUM(G18:G21)</f>
        <v/>
      </c>
      <c r="H22" s="26">
        <f>SUM(H18:H21)</f>
        <v/>
      </c>
      <c r="I22" s="26">
        <f>SUM(I18:I21)</f>
        <v/>
      </c>
      <c r="J22" s="26">
        <f>SUM(J18:J21)</f>
        <v/>
      </c>
      <c r="K22" s="26">
        <f>SUM(K18:K21)</f>
        <v/>
      </c>
      <c r="L22" s="26">
        <f>SUM(L18:L21)</f>
        <v/>
      </c>
      <c r="M22" s="26">
        <f>SUM(M18:M21)</f>
        <v/>
      </c>
      <c r="N22" s="26">
        <f>SUM(N18:N21)</f>
        <v/>
      </c>
      <c r="O22" s="26">
        <f>SUM(O18:O21)</f>
        <v/>
      </c>
      <c r="P22" s="26">
        <f>SUM(P18:P21)</f>
        <v/>
      </c>
      <c r="Q22" s="26">
        <f>SUM(Q18:Q21)</f>
        <v/>
      </c>
      <c r="R22" s="26">
        <f>SUM(R18:R21)</f>
        <v/>
      </c>
      <c r="S22" s="26">
        <f>SUM(S18:S21)</f>
        <v/>
      </c>
      <c r="T22" s="26">
        <f>SUM(T18:T21)</f>
        <v/>
      </c>
      <c r="U22" s="26">
        <f>SUM(U18:U21)</f>
        <v/>
      </c>
      <c r="V22" s="26">
        <f>SUM(V18:V21)</f>
        <v/>
      </c>
      <c r="W22" s="26">
        <f>SUM(W18:W21)</f>
        <v/>
      </c>
      <c r="X22" s="26">
        <f>SUM(X18:X21)</f>
        <v/>
      </c>
      <c r="Y22" s="26">
        <f>SUM(Y18:Y21)</f>
        <v/>
      </c>
      <c r="Z22" s="26">
        <f>SUM(Z18:Z21)</f>
        <v/>
      </c>
      <c r="AA22" s="26">
        <f>SUM(AA18:AA21)</f>
        <v/>
      </c>
      <c r="AB22" s="26">
        <f>SUM(AB18:AB21)</f>
        <v/>
      </c>
      <c r="AC22" s="26">
        <f>SUM(AC18:AC21)</f>
        <v/>
      </c>
      <c r="AD22" s="26">
        <f>SUM(AD18:AD21)</f>
        <v/>
      </c>
      <c r="AE22" s="26">
        <f>SUM(AE18:AE21)</f>
        <v/>
      </c>
      <c r="AF22" s="26">
        <f>SUM(AF18:AF21)</f>
        <v/>
      </c>
      <c r="AG22" s="26">
        <f>SUM(AG18:AG21)</f>
        <v/>
      </c>
      <c r="AH22" s="26">
        <f>SUM(AH18:AH21)</f>
        <v/>
      </c>
      <c r="AI22" s="26">
        <f>SUM(AI18:AI21)</f>
        <v/>
      </c>
      <c r="AJ22" s="26">
        <f>SUM(AJ18:AJ21)</f>
        <v/>
      </c>
      <c r="AK22" s="26">
        <f>SUM(AK18:AK21)</f>
        <v/>
      </c>
      <c r="AL22" s="26">
        <f>SUM(AL18:AL21)</f>
        <v/>
      </c>
      <c r="AN22" s="26">
        <f>SUMIF($C$5:$AL$5,AN$5,C22:AL22)</f>
        <v/>
      </c>
      <c r="AO22" s="26">
        <f>SUMIF($C$5:$AL$5,AO$5,C22:AL22)</f>
        <v/>
      </c>
      <c r="AP22" s="26">
        <f>SUMIF($C$5:$AL$5,AP$5,C22:AL22)</f>
        <v/>
      </c>
      <c r="AQ22" s="26">
        <f>SUM(C22:AL22)</f>
        <v/>
      </c>
    </row>
    <row r="24">
      <c r="A24" s="7" t="inlineStr">
        <is>
          <t>NET CASH FLOW</t>
        </is>
      </c>
      <c r="B24" s="4" t="inlineStr"/>
      <c r="C24" s="26">
        <f>'Cash flow'!C15+'Cash flow'!C22</f>
        <v/>
      </c>
      <c r="D24" s="26">
        <f>'Cash flow'!D15+'Cash flow'!D22</f>
        <v/>
      </c>
      <c r="E24" s="26">
        <f>'Cash flow'!E15+'Cash flow'!E22</f>
        <v/>
      </c>
      <c r="F24" s="26">
        <f>'Cash flow'!F15+'Cash flow'!F22</f>
        <v/>
      </c>
      <c r="G24" s="26">
        <f>'Cash flow'!G15+'Cash flow'!G22</f>
        <v/>
      </c>
      <c r="H24" s="26">
        <f>'Cash flow'!H15+'Cash flow'!H22</f>
        <v/>
      </c>
      <c r="I24" s="26">
        <f>'Cash flow'!I15+'Cash flow'!I22</f>
        <v/>
      </c>
      <c r="J24" s="26">
        <f>'Cash flow'!J15+'Cash flow'!J22</f>
        <v/>
      </c>
      <c r="K24" s="26">
        <f>'Cash flow'!K15+'Cash flow'!K22</f>
        <v/>
      </c>
      <c r="L24" s="26">
        <f>'Cash flow'!L15+'Cash flow'!L22</f>
        <v/>
      </c>
      <c r="M24" s="26">
        <f>'Cash flow'!M15+'Cash flow'!M22</f>
        <v/>
      </c>
      <c r="N24" s="26">
        <f>'Cash flow'!N15+'Cash flow'!N22</f>
        <v/>
      </c>
      <c r="O24" s="26">
        <f>'Cash flow'!O15+'Cash flow'!O22</f>
        <v/>
      </c>
      <c r="P24" s="26">
        <f>'Cash flow'!P15+'Cash flow'!P22</f>
        <v/>
      </c>
      <c r="Q24" s="26">
        <f>'Cash flow'!Q15+'Cash flow'!Q22</f>
        <v/>
      </c>
      <c r="R24" s="26">
        <f>'Cash flow'!R15+'Cash flow'!R22</f>
        <v/>
      </c>
      <c r="S24" s="26">
        <f>'Cash flow'!S15+'Cash flow'!S22</f>
        <v/>
      </c>
      <c r="T24" s="26">
        <f>'Cash flow'!T15+'Cash flow'!T22</f>
        <v/>
      </c>
      <c r="U24" s="26">
        <f>'Cash flow'!U15+'Cash flow'!U22</f>
        <v/>
      </c>
      <c r="V24" s="26">
        <f>'Cash flow'!V15+'Cash flow'!V22</f>
        <v/>
      </c>
      <c r="W24" s="26">
        <f>'Cash flow'!W15+'Cash flow'!W22</f>
        <v/>
      </c>
      <c r="X24" s="26">
        <f>'Cash flow'!X15+'Cash flow'!X22</f>
        <v/>
      </c>
      <c r="Y24" s="26">
        <f>'Cash flow'!Y15+'Cash flow'!Y22</f>
        <v/>
      </c>
      <c r="Z24" s="26">
        <f>'Cash flow'!Z15+'Cash flow'!Z22</f>
        <v/>
      </c>
      <c r="AA24" s="26">
        <f>'Cash flow'!AA15+'Cash flow'!AA22</f>
        <v/>
      </c>
      <c r="AB24" s="26">
        <f>'Cash flow'!AB15+'Cash flow'!AB22</f>
        <v/>
      </c>
      <c r="AC24" s="26">
        <f>'Cash flow'!AC15+'Cash flow'!AC22</f>
        <v/>
      </c>
      <c r="AD24" s="26">
        <f>'Cash flow'!AD15+'Cash flow'!AD22</f>
        <v/>
      </c>
      <c r="AE24" s="26">
        <f>'Cash flow'!AE15+'Cash flow'!AE22</f>
        <v/>
      </c>
      <c r="AF24" s="26">
        <f>'Cash flow'!AF15+'Cash flow'!AF22</f>
        <v/>
      </c>
      <c r="AG24" s="26">
        <f>'Cash flow'!AG15+'Cash flow'!AG22</f>
        <v/>
      </c>
      <c r="AH24" s="26">
        <f>'Cash flow'!AH15+'Cash flow'!AH22</f>
        <v/>
      </c>
      <c r="AI24" s="26">
        <f>'Cash flow'!AI15+'Cash flow'!AI22</f>
        <v/>
      </c>
      <c r="AJ24" s="26">
        <f>'Cash flow'!AJ15+'Cash flow'!AJ22</f>
        <v/>
      </c>
      <c r="AK24" s="26">
        <f>'Cash flow'!AK15+'Cash flow'!AK22</f>
        <v/>
      </c>
      <c r="AL24" s="26">
        <f>'Cash flow'!AL15+'Cash flow'!AL22</f>
        <v/>
      </c>
      <c r="AN24" s="26">
        <f>SUMIF($C$5:$AL$5,AN$5,C24:AL24)</f>
        <v/>
      </c>
      <c r="AO24" s="26">
        <f>SUMIF($C$5:$AL$5,AO$5,C24:AL24)</f>
        <v/>
      </c>
      <c r="AP24" s="26">
        <f>SUMIF($C$5:$AL$5,AP$5,C24:AL24)</f>
        <v/>
      </c>
      <c r="AQ24" s="26">
        <f>SUM(C24:AL24)</f>
        <v/>
      </c>
    </row>
    <row r="25">
      <c r="A25" s="7" t="inlineStr">
        <is>
          <t>CLOSING CASH</t>
        </is>
      </c>
      <c r="B25" s="4" t="inlineStr"/>
      <c r="C25" s="26">
        <f>'Cash flow'!C7+'Cash flow'!C24</f>
        <v/>
      </c>
      <c r="D25" s="26">
        <f>'Cash flow'!D7+'Cash flow'!D24</f>
        <v/>
      </c>
      <c r="E25" s="26">
        <f>'Cash flow'!E7+'Cash flow'!E24</f>
        <v/>
      </c>
      <c r="F25" s="26">
        <f>'Cash flow'!F7+'Cash flow'!F24</f>
        <v/>
      </c>
      <c r="G25" s="26">
        <f>'Cash flow'!G7+'Cash flow'!G24</f>
        <v/>
      </c>
      <c r="H25" s="26">
        <f>'Cash flow'!H7+'Cash flow'!H24</f>
        <v/>
      </c>
      <c r="I25" s="26">
        <f>'Cash flow'!I7+'Cash flow'!I24</f>
        <v/>
      </c>
      <c r="J25" s="26">
        <f>'Cash flow'!J7+'Cash flow'!J24</f>
        <v/>
      </c>
      <c r="K25" s="26">
        <f>'Cash flow'!K7+'Cash flow'!K24</f>
        <v/>
      </c>
      <c r="L25" s="26">
        <f>'Cash flow'!L7+'Cash flow'!L24</f>
        <v/>
      </c>
      <c r="M25" s="26">
        <f>'Cash flow'!M7+'Cash flow'!M24</f>
        <v/>
      </c>
      <c r="N25" s="26">
        <f>'Cash flow'!N7+'Cash flow'!N24</f>
        <v/>
      </c>
      <c r="O25" s="26">
        <f>'Cash flow'!O7+'Cash flow'!O24</f>
        <v/>
      </c>
      <c r="P25" s="26">
        <f>'Cash flow'!P7+'Cash flow'!P24</f>
        <v/>
      </c>
      <c r="Q25" s="26">
        <f>'Cash flow'!Q7+'Cash flow'!Q24</f>
        <v/>
      </c>
      <c r="R25" s="26">
        <f>'Cash flow'!R7+'Cash flow'!R24</f>
        <v/>
      </c>
      <c r="S25" s="26">
        <f>'Cash flow'!S7+'Cash flow'!S24</f>
        <v/>
      </c>
      <c r="T25" s="26">
        <f>'Cash flow'!T7+'Cash flow'!T24</f>
        <v/>
      </c>
      <c r="U25" s="26">
        <f>'Cash flow'!U7+'Cash flow'!U24</f>
        <v/>
      </c>
      <c r="V25" s="26">
        <f>'Cash flow'!V7+'Cash flow'!V24</f>
        <v/>
      </c>
      <c r="W25" s="26">
        <f>'Cash flow'!W7+'Cash flow'!W24</f>
        <v/>
      </c>
      <c r="X25" s="26">
        <f>'Cash flow'!X7+'Cash flow'!X24</f>
        <v/>
      </c>
      <c r="Y25" s="26">
        <f>'Cash flow'!Y7+'Cash flow'!Y24</f>
        <v/>
      </c>
      <c r="Z25" s="26">
        <f>'Cash flow'!Z7+'Cash flow'!Z24</f>
        <v/>
      </c>
      <c r="AA25" s="26">
        <f>'Cash flow'!AA7+'Cash flow'!AA24</f>
        <v/>
      </c>
      <c r="AB25" s="26">
        <f>'Cash flow'!AB7+'Cash flow'!AB24</f>
        <v/>
      </c>
      <c r="AC25" s="26">
        <f>'Cash flow'!AC7+'Cash flow'!AC24</f>
        <v/>
      </c>
      <c r="AD25" s="26">
        <f>'Cash flow'!AD7+'Cash flow'!AD24</f>
        <v/>
      </c>
      <c r="AE25" s="26">
        <f>'Cash flow'!AE7+'Cash flow'!AE24</f>
        <v/>
      </c>
      <c r="AF25" s="26">
        <f>'Cash flow'!AF7+'Cash flow'!AF24</f>
        <v/>
      </c>
      <c r="AG25" s="26">
        <f>'Cash flow'!AG7+'Cash flow'!AG24</f>
        <v/>
      </c>
      <c r="AH25" s="26">
        <f>'Cash flow'!AH7+'Cash flow'!AH24</f>
        <v/>
      </c>
      <c r="AI25" s="26">
        <f>'Cash flow'!AI7+'Cash flow'!AI24</f>
        <v/>
      </c>
      <c r="AJ25" s="26">
        <f>'Cash flow'!AJ7+'Cash flow'!AJ24</f>
        <v/>
      </c>
      <c r="AK25" s="26">
        <f>'Cash flow'!AK7+'Cash flow'!AK24</f>
        <v/>
      </c>
      <c r="AL25" s="26">
        <f>'Cash flow'!AL7+'Cash flow'!AL24</f>
        <v/>
      </c>
      <c r="AN25" s="26">
        <f>INDEX(C25:AL25,1,12)</f>
        <v/>
      </c>
      <c r="AO25" s="26">
        <f>INDEX(C25:AL25,1,24)</f>
        <v/>
      </c>
      <c r="AP25" s="26">
        <f>INDEX(C25:AL25,1,36)</f>
        <v/>
      </c>
      <c r="AQ25" s="26">
        <f>INDEX(C25:AL25,1,36)</f>
        <v/>
      </c>
    </row>
    <row r="26">
      <c r="A26" s="22" t="inlineStr">
        <is>
          <t>Minimum closing cash to date</t>
        </is>
      </c>
      <c r="B26" s="4" t="inlineStr"/>
      <c r="C26" s="19">
        <f>'Cash flow'!C25</f>
        <v/>
      </c>
      <c r="D26" s="19">
        <f>MIN('Cash flow'!C26,'Cash flow'!D25)</f>
        <v/>
      </c>
      <c r="E26" s="19">
        <f>MIN('Cash flow'!D26,'Cash flow'!E25)</f>
        <v/>
      </c>
      <c r="F26" s="19">
        <f>MIN('Cash flow'!E26,'Cash flow'!F25)</f>
        <v/>
      </c>
      <c r="G26" s="19">
        <f>MIN('Cash flow'!F26,'Cash flow'!G25)</f>
        <v/>
      </c>
      <c r="H26" s="19">
        <f>MIN('Cash flow'!G26,'Cash flow'!H25)</f>
        <v/>
      </c>
      <c r="I26" s="19">
        <f>MIN('Cash flow'!H26,'Cash flow'!I25)</f>
        <v/>
      </c>
      <c r="J26" s="19">
        <f>MIN('Cash flow'!I26,'Cash flow'!J25)</f>
        <v/>
      </c>
      <c r="K26" s="19">
        <f>MIN('Cash flow'!J26,'Cash flow'!K25)</f>
        <v/>
      </c>
      <c r="L26" s="19">
        <f>MIN('Cash flow'!K26,'Cash flow'!L25)</f>
        <v/>
      </c>
      <c r="M26" s="19">
        <f>MIN('Cash flow'!L26,'Cash flow'!M25)</f>
        <v/>
      </c>
      <c r="N26" s="19">
        <f>MIN('Cash flow'!M26,'Cash flow'!N25)</f>
        <v/>
      </c>
      <c r="O26" s="19">
        <f>MIN('Cash flow'!N26,'Cash flow'!O25)</f>
        <v/>
      </c>
      <c r="P26" s="19">
        <f>MIN('Cash flow'!O26,'Cash flow'!P25)</f>
        <v/>
      </c>
      <c r="Q26" s="19">
        <f>MIN('Cash flow'!P26,'Cash flow'!Q25)</f>
        <v/>
      </c>
      <c r="R26" s="19">
        <f>MIN('Cash flow'!Q26,'Cash flow'!R25)</f>
        <v/>
      </c>
      <c r="S26" s="19">
        <f>MIN('Cash flow'!R26,'Cash flow'!S25)</f>
        <v/>
      </c>
      <c r="T26" s="19">
        <f>MIN('Cash flow'!S26,'Cash flow'!T25)</f>
        <v/>
      </c>
      <c r="U26" s="19">
        <f>MIN('Cash flow'!T26,'Cash flow'!U25)</f>
        <v/>
      </c>
      <c r="V26" s="19">
        <f>MIN('Cash flow'!U26,'Cash flow'!V25)</f>
        <v/>
      </c>
      <c r="W26" s="19">
        <f>MIN('Cash flow'!V26,'Cash flow'!W25)</f>
        <v/>
      </c>
      <c r="X26" s="19">
        <f>MIN('Cash flow'!W26,'Cash flow'!X25)</f>
        <v/>
      </c>
      <c r="Y26" s="19">
        <f>MIN('Cash flow'!X26,'Cash flow'!Y25)</f>
        <v/>
      </c>
      <c r="Z26" s="19">
        <f>MIN('Cash flow'!Y26,'Cash flow'!Z25)</f>
        <v/>
      </c>
      <c r="AA26" s="19">
        <f>MIN('Cash flow'!Z26,'Cash flow'!AA25)</f>
        <v/>
      </c>
      <c r="AB26" s="19">
        <f>MIN('Cash flow'!AA26,'Cash flow'!AB25)</f>
        <v/>
      </c>
      <c r="AC26" s="19">
        <f>MIN('Cash flow'!AB26,'Cash flow'!AC25)</f>
        <v/>
      </c>
      <c r="AD26" s="19">
        <f>MIN('Cash flow'!AC26,'Cash flow'!AD25)</f>
        <v/>
      </c>
      <c r="AE26" s="19">
        <f>MIN('Cash flow'!AD26,'Cash flow'!AE25)</f>
        <v/>
      </c>
      <c r="AF26" s="19">
        <f>MIN('Cash flow'!AE26,'Cash flow'!AF25)</f>
        <v/>
      </c>
      <c r="AG26" s="19">
        <f>MIN('Cash flow'!AF26,'Cash flow'!AG25)</f>
        <v/>
      </c>
      <c r="AH26" s="19">
        <f>MIN('Cash flow'!AG26,'Cash flow'!AH25)</f>
        <v/>
      </c>
      <c r="AI26" s="19">
        <f>MIN('Cash flow'!AH26,'Cash flow'!AI25)</f>
        <v/>
      </c>
      <c r="AJ26" s="19">
        <f>MIN('Cash flow'!AI26,'Cash flow'!AJ25)</f>
        <v/>
      </c>
      <c r="AK26" s="19">
        <f>MIN('Cash flow'!AJ26,'Cash flow'!AK25)</f>
        <v/>
      </c>
      <c r="AL26" s="19">
        <f>MIN('Cash flow'!AK26,'Cash flow'!AL25)</f>
        <v/>
      </c>
      <c r="AN26" s="19">
        <f>INDEX(C26:AL26,1,12)</f>
        <v/>
      </c>
      <c r="AO26" s="19">
        <f>INDEX(C26:AL26,1,24)</f>
        <v/>
      </c>
      <c r="AP26" s="19">
        <f>INDEX(C26:AL26,1,36)</f>
        <v/>
      </c>
      <c r="AQ26" s="19">
        <f>INDEX(C26:AL26,1,36)</f>
        <v/>
      </c>
    </row>
    <row r="27">
      <c r="A27" s="22" t="inlineStr">
        <is>
          <t>Cumulative cash BEFORE external funding (opening cash + operating cash flow)</t>
        </is>
      </c>
      <c r="B27" s="4" t="inlineStr"/>
      <c r="C27" s="19">
        <f>Assumptions!$F$9+'Cash flow'!C15</f>
        <v/>
      </c>
      <c r="D27" s="19">
        <f>'Cash flow'!C27+'Cash flow'!D15</f>
        <v/>
      </c>
      <c r="E27" s="19">
        <f>'Cash flow'!D27+'Cash flow'!E15</f>
        <v/>
      </c>
      <c r="F27" s="19">
        <f>'Cash flow'!E27+'Cash flow'!F15</f>
        <v/>
      </c>
      <c r="G27" s="19">
        <f>'Cash flow'!F27+'Cash flow'!G15</f>
        <v/>
      </c>
      <c r="H27" s="19">
        <f>'Cash flow'!G27+'Cash flow'!H15</f>
        <v/>
      </c>
      <c r="I27" s="19">
        <f>'Cash flow'!H27+'Cash flow'!I15</f>
        <v/>
      </c>
      <c r="J27" s="19">
        <f>'Cash flow'!I27+'Cash flow'!J15</f>
        <v/>
      </c>
      <c r="K27" s="19">
        <f>'Cash flow'!J27+'Cash flow'!K15</f>
        <v/>
      </c>
      <c r="L27" s="19">
        <f>'Cash flow'!K27+'Cash flow'!L15</f>
        <v/>
      </c>
      <c r="M27" s="19">
        <f>'Cash flow'!L27+'Cash flow'!M15</f>
        <v/>
      </c>
      <c r="N27" s="19">
        <f>'Cash flow'!M27+'Cash flow'!N15</f>
        <v/>
      </c>
      <c r="O27" s="19">
        <f>'Cash flow'!N27+'Cash flow'!O15</f>
        <v/>
      </c>
      <c r="P27" s="19">
        <f>'Cash flow'!O27+'Cash flow'!P15</f>
        <v/>
      </c>
      <c r="Q27" s="19">
        <f>'Cash flow'!P27+'Cash flow'!Q15</f>
        <v/>
      </c>
      <c r="R27" s="19">
        <f>'Cash flow'!Q27+'Cash flow'!R15</f>
        <v/>
      </c>
      <c r="S27" s="19">
        <f>'Cash flow'!R27+'Cash flow'!S15</f>
        <v/>
      </c>
      <c r="T27" s="19">
        <f>'Cash flow'!S27+'Cash flow'!T15</f>
        <v/>
      </c>
      <c r="U27" s="19">
        <f>'Cash flow'!T27+'Cash flow'!U15</f>
        <v/>
      </c>
      <c r="V27" s="19">
        <f>'Cash flow'!U27+'Cash flow'!V15</f>
        <v/>
      </c>
      <c r="W27" s="19">
        <f>'Cash flow'!V27+'Cash flow'!W15</f>
        <v/>
      </c>
      <c r="X27" s="19">
        <f>'Cash flow'!W27+'Cash flow'!X15</f>
        <v/>
      </c>
      <c r="Y27" s="19">
        <f>'Cash flow'!X27+'Cash flow'!Y15</f>
        <v/>
      </c>
      <c r="Z27" s="19">
        <f>'Cash flow'!Y27+'Cash flow'!Z15</f>
        <v/>
      </c>
      <c r="AA27" s="19">
        <f>'Cash flow'!Z27+'Cash flow'!AA15</f>
        <v/>
      </c>
      <c r="AB27" s="19">
        <f>'Cash flow'!AA27+'Cash flow'!AB15</f>
        <v/>
      </c>
      <c r="AC27" s="19">
        <f>'Cash flow'!AB27+'Cash flow'!AC15</f>
        <v/>
      </c>
      <c r="AD27" s="19">
        <f>'Cash flow'!AC27+'Cash flow'!AD15</f>
        <v/>
      </c>
      <c r="AE27" s="19">
        <f>'Cash flow'!AD27+'Cash flow'!AE15</f>
        <v/>
      </c>
      <c r="AF27" s="19">
        <f>'Cash flow'!AE27+'Cash flow'!AF15</f>
        <v/>
      </c>
      <c r="AG27" s="19">
        <f>'Cash flow'!AF27+'Cash flow'!AG15</f>
        <v/>
      </c>
      <c r="AH27" s="19">
        <f>'Cash flow'!AG27+'Cash flow'!AH15</f>
        <v/>
      </c>
      <c r="AI27" s="19">
        <f>'Cash flow'!AH27+'Cash flow'!AI15</f>
        <v/>
      </c>
      <c r="AJ27" s="19">
        <f>'Cash flow'!AI27+'Cash flow'!AJ15</f>
        <v/>
      </c>
      <c r="AK27" s="19">
        <f>'Cash flow'!AJ27+'Cash flow'!AK15</f>
        <v/>
      </c>
      <c r="AL27" s="19">
        <f>'Cash flow'!AK27+'Cash flow'!AL15</f>
        <v/>
      </c>
      <c r="AN27" s="19">
        <f>INDEX(C27:AL27,1,12)</f>
        <v/>
      </c>
      <c r="AO27" s="19">
        <f>INDEX(C27:AL27,1,24)</f>
        <v/>
      </c>
      <c r="AP27" s="19">
        <f>INDEX(C27:AL27,1,36)</f>
        <v/>
      </c>
      <c r="AQ27" s="19">
        <f>INDEX(C27:AL27,1,36)</f>
        <v/>
      </c>
    </row>
    <row r="28">
      <c r="A28" s="22" t="inlineStr">
        <is>
          <t>Monthly burn (negative of operating cash flow)</t>
        </is>
      </c>
      <c r="B28" s="4" t="inlineStr"/>
      <c r="C28" s="19">
        <f>-'Cash flow'!C15</f>
        <v/>
      </c>
      <c r="D28" s="19">
        <f>-'Cash flow'!D15</f>
        <v/>
      </c>
      <c r="E28" s="19">
        <f>-'Cash flow'!E15</f>
        <v/>
      </c>
      <c r="F28" s="19">
        <f>-'Cash flow'!F15</f>
        <v/>
      </c>
      <c r="G28" s="19">
        <f>-'Cash flow'!G15</f>
        <v/>
      </c>
      <c r="H28" s="19">
        <f>-'Cash flow'!H15</f>
        <v/>
      </c>
      <c r="I28" s="19">
        <f>-'Cash flow'!I15</f>
        <v/>
      </c>
      <c r="J28" s="19">
        <f>-'Cash flow'!J15</f>
        <v/>
      </c>
      <c r="K28" s="19">
        <f>-'Cash flow'!K15</f>
        <v/>
      </c>
      <c r="L28" s="19">
        <f>-'Cash flow'!L15</f>
        <v/>
      </c>
      <c r="M28" s="19">
        <f>-'Cash flow'!M15</f>
        <v/>
      </c>
      <c r="N28" s="19">
        <f>-'Cash flow'!N15</f>
        <v/>
      </c>
      <c r="O28" s="19">
        <f>-'Cash flow'!O15</f>
        <v/>
      </c>
      <c r="P28" s="19">
        <f>-'Cash flow'!P15</f>
        <v/>
      </c>
      <c r="Q28" s="19">
        <f>-'Cash flow'!Q15</f>
        <v/>
      </c>
      <c r="R28" s="19">
        <f>-'Cash flow'!R15</f>
        <v/>
      </c>
      <c r="S28" s="19">
        <f>-'Cash flow'!S15</f>
        <v/>
      </c>
      <c r="T28" s="19">
        <f>-'Cash flow'!T15</f>
        <v/>
      </c>
      <c r="U28" s="19">
        <f>-'Cash flow'!U15</f>
        <v/>
      </c>
      <c r="V28" s="19">
        <f>-'Cash flow'!V15</f>
        <v/>
      </c>
      <c r="W28" s="19">
        <f>-'Cash flow'!W15</f>
        <v/>
      </c>
      <c r="X28" s="19">
        <f>-'Cash flow'!X15</f>
        <v/>
      </c>
      <c r="Y28" s="19">
        <f>-'Cash flow'!Y15</f>
        <v/>
      </c>
      <c r="Z28" s="19">
        <f>-'Cash flow'!Z15</f>
        <v/>
      </c>
      <c r="AA28" s="19">
        <f>-'Cash flow'!AA15</f>
        <v/>
      </c>
      <c r="AB28" s="19">
        <f>-'Cash flow'!AB15</f>
        <v/>
      </c>
      <c r="AC28" s="19">
        <f>-'Cash flow'!AC15</f>
        <v/>
      </c>
      <c r="AD28" s="19">
        <f>-'Cash flow'!AD15</f>
        <v/>
      </c>
      <c r="AE28" s="19">
        <f>-'Cash flow'!AE15</f>
        <v/>
      </c>
      <c r="AF28" s="19">
        <f>-'Cash flow'!AF15</f>
        <v/>
      </c>
      <c r="AG28" s="19">
        <f>-'Cash flow'!AG15</f>
        <v/>
      </c>
      <c r="AH28" s="19">
        <f>-'Cash flow'!AH15</f>
        <v/>
      </c>
      <c r="AI28" s="19">
        <f>-'Cash flow'!AI15</f>
        <v/>
      </c>
      <c r="AJ28" s="19">
        <f>-'Cash flow'!AJ15</f>
        <v/>
      </c>
      <c r="AK28" s="19">
        <f>-'Cash flow'!AK15</f>
        <v/>
      </c>
      <c r="AL28" s="19">
        <f>-'Cash flow'!AL15</f>
        <v/>
      </c>
      <c r="AN28" s="19">
        <f>AVERAGEIF($C$5:$AL$5,AN$5,C28:AL28)</f>
        <v/>
      </c>
      <c r="AO28" s="19">
        <f>AVERAGEIF($C$5:$AL$5,AO$5,C28:AL28)</f>
        <v/>
      </c>
      <c r="AP28" s="19">
        <f>AVERAGEIF($C$5:$AL$5,AP$5,C28:AL28)</f>
        <v/>
      </c>
      <c r="AQ28" s="19">
        <f>AVERAGE(C28:AL28)</f>
        <v/>
      </c>
    </row>
    <row r="29">
      <c r="A29" s="22" t="inlineStr">
        <is>
          <t>Runway (months of closing cash at trailing 3-month burn)</t>
        </is>
      </c>
      <c r="B29" s="4" t="inlineStr"/>
      <c r="C29" s="39">
        <f>IF(AVERAGE(C28:C28)&gt;0,'Cash flow'!C25/AVERAGE(C28:C28),"cash-generative")</f>
        <v/>
      </c>
      <c r="D29" s="39">
        <f>IF(AVERAGE(C28:D28)&gt;0,'Cash flow'!D25/AVERAGE(C28:D28),"cash-generative")</f>
        <v/>
      </c>
      <c r="E29" s="39">
        <f>IF(AVERAGE(C28:E28)&gt;0,'Cash flow'!E25/AVERAGE(C28:E28),"cash-generative")</f>
        <v/>
      </c>
      <c r="F29" s="39">
        <f>IF(AVERAGE(D28:F28)&gt;0,'Cash flow'!F25/AVERAGE(D28:F28),"cash-generative")</f>
        <v/>
      </c>
      <c r="G29" s="39">
        <f>IF(AVERAGE(E28:G28)&gt;0,'Cash flow'!G25/AVERAGE(E28:G28),"cash-generative")</f>
        <v/>
      </c>
      <c r="H29" s="39">
        <f>IF(AVERAGE(F28:H28)&gt;0,'Cash flow'!H25/AVERAGE(F28:H28),"cash-generative")</f>
        <v/>
      </c>
      <c r="I29" s="39">
        <f>IF(AVERAGE(G28:I28)&gt;0,'Cash flow'!I25/AVERAGE(G28:I28),"cash-generative")</f>
        <v/>
      </c>
      <c r="J29" s="39">
        <f>IF(AVERAGE(H28:J28)&gt;0,'Cash flow'!J25/AVERAGE(H28:J28),"cash-generative")</f>
        <v/>
      </c>
      <c r="K29" s="39">
        <f>IF(AVERAGE(I28:K28)&gt;0,'Cash flow'!K25/AVERAGE(I28:K28),"cash-generative")</f>
        <v/>
      </c>
      <c r="L29" s="39">
        <f>IF(AVERAGE(J28:L28)&gt;0,'Cash flow'!L25/AVERAGE(J28:L28),"cash-generative")</f>
        <v/>
      </c>
      <c r="M29" s="39">
        <f>IF(AVERAGE(K28:M28)&gt;0,'Cash flow'!M25/AVERAGE(K28:M28),"cash-generative")</f>
        <v/>
      </c>
      <c r="N29" s="39">
        <f>IF(AVERAGE(L28:N28)&gt;0,'Cash flow'!N25/AVERAGE(L28:N28),"cash-generative")</f>
        <v/>
      </c>
      <c r="O29" s="39">
        <f>IF(AVERAGE(M28:O28)&gt;0,'Cash flow'!O25/AVERAGE(M28:O28),"cash-generative")</f>
        <v/>
      </c>
      <c r="P29" s="39">
        <f>IF(AVERAGE(N28:P28)&gt;0,'Cash flow'!P25/AVERAGE(N28:P28),"cash-generative")</f>
        <v/>
      </c>
      <c r="Q29" s="39">
        <f>IF(AVERAGE(O28:Q28)&gt;0,'Cash flow'!Q25/AVERAGE(O28:Q28),"cash-generative")</f>
        <v/>
      </c>
      <c r="R29" s="39">
        <f>IF(AVERAGE(P28:R28)&gt;0,'Cash flow'!R25/AVERAGE(P28:R28),"cash-generative")</f>
        <v/>
      </c>
      <c r="S29" s="39">
        <f>IF(AVERAGE(Q28:S28)&gt;0,'Cash flow'!S25/AVERAGE(Q28:S28),"cash-generative")</f>
        <v/>
      </c>
      <c r="T29" s="39">
        <f>IF(AVERAGE(R28:T28)&gt;0,'Cash flow'!T25/AVERAGE(R28:T28),"cash-generative")</f>
        <v/>
      </c>
      <c r="U29" s="39">
        <f>IF(AVERAGE(S28:U28)&gt;0,'Cash flow'!U25/AVERAGE(S28:U28),"cash-generative")</f>
        <v/>
      </c>
      <c r="V29" s="39">
        <f>IF(AVERAGE(T28:V28)&gt;0,'Cash flow'!V25/AVERAGE(T28:V28),"cash-generative")</f>
        <v/>
      </c>
      <c r="W29" s="39">
        <f>IF(AVERAGE(U28:W28)&gt;0,'Cash flow'!W25/AVERAGE(U28:W28),"cash-generative")</f>
        <v/>
      </c>
      <c r="X29" s="39">
        <f>IF(AVERAGE(V28:X28)&gt;0,'Cash flow'!X25/AVERAGE(V28:X28),"cash-generative")</f>
        <v/>
      </c>
      <c r="Y29" s="39">
        <f>IF(AVERAGE(W28:Y28)&gt;0,'Cash flow'!Y25/AVERAGE(W28:Y28),"cash-generative")</f>
        <v/>
      </c>
      <c r="Z29" s="39">
        <f>IF(AVERAGE(X28:Z28)&gt;0,'Cash flow'!Z25/AVERAGE(X28:Z28),"cash-generative")</f>
        <v/>
      </c>
      <c r="AA29" s="39">
        <f>IF(AVERAGE(Y28:AA28)&gt;0,'Cash flow'!AA25/AVERAGE(Y28:AA28),"cash-generative")</f>
        <v/>
      </c>
      <c r="AB29" s="39">
        <f>IF(AVERAGE(Z28:AB28)&gt;0,'Cash flow'!AB25/AVERAGE(Z28:AB28),"cash-generative")</f>
        <v/>
      </c>
      <c r="AC29" s="39">
        <f>IF(AVERAGE(AA28:AC28)&gt;0,'Cash flow'!AC25/AVERAGE(AA28:AC28),"cash-generative")</f>
        <v/>
      </c>
      <c r="AD29" s="39">
        <f>IF(AVERAGE(AB28:AD28)&gt;0,'Cash flow'!AD25/AVERAGE(AB28:AD28),"cash-generative")</f>
        <v/>
      </c>
      <c r="AE29" s="39">
        <f>IF(AVERAGE(AC28:AE28)&gt;0,'Cash flow'!AE25/AVERAGE(AC28:AE28),"cash-generative")</f>
        <v/>
      </c>
      <c r="AF29" s="39">
        <f>IF(AVERAGE(AD28:AF28)&gt;0,'Cash flow'!AF25/AVERAGE(AD28:AF28),"cash-generative")</f>
        <v/>
      </c>
      <c r="AG29" s="39">
        <f>IF(AVERAGE(AE28:AG28)&gt;0,'Cash flow'!AG25/AVERAGE(AE28:AG28),"cash-generative")</f>
        <v/>
      </c>
      <c r="AH29" s="39">
        <f>IF(AVERAGE(AF28:AH28)&gt;0,'Cash flow'!AH25/AVERAGE(AF28:AH28),"cash-generative")</f>
        <v/>
      </c>
      <c r="AI29" s="39">
        <f>IF(AVERAGE(AG28:AI28)&gt;0,'Cash flow'!AI25/AVERAGE(AG28:AI28),"cash-generative")</f>
        <v/>
      </c>
      <c r="AJ29" s="39">
        <f>IF(AVERAGE(AH28:AJ28)&gt;0,'Cash flow'!AJ25/AVERAGE(AH28:AJ28),"cash-generative")</f>
        <v/>
      </c>
      <c r="AK29" s="39">
        <f>IF(AVERAGE(AI28:AK28)&gt;0,'Cash flow'!AK25/AVERAGE(AI28:AK28),"cash-generative")</f>
        <v/>
      </c>
      <c r="AL29" s="39">
        <f>IF(AVERAGE(AJ28:AL28)&gt;0,'Cash flow'!AL25/AVERAGE(AJ28:AL28),"cash-generative")</f>
        <v/>
      </c>
      <c r="AN29" s="39">
        <f>INDEX(C29:AL29,1,12)</f>
        <v/>
      </c>
      <c r="AO29" s="39">
        <f>INDEX(C29:AL29,1,24)</f>
        <v/>
      </c>
      <c r="AP29" s="39">
        <f>INDEX(C29:AL29,1,36)</f>
        <v/>
      </c>
      <c r="AQ29" s="39">
        <f>INDEX(C29:AL29,1,36)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cols>
    <col width="78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s="38" t="inlineStr">
        <is>
          <t>Funding requirement — peak cash need, break-even, runway (active scenario)</t>
        </is>
      </c>
    </row>
    <row r="2">
      <c r="A2" s="4">
        <f>"Scenario: "&amp;Assumptions!$D$4</f>
        <v/>
      </c>
    </row>
    <row r="4">
      <c r="A4" t="inlineStr">
        <is>
          <t>Peak cash need before external funding (max cumulative deficit incl. opening cash)</t>
        </is>
      </c>
      <c r="B4" s="30">
        <f>MAX(0,-MIN('Cash flow'!$C$27:$AL$27))</f>
        <v/>
      </c>
    </row>
    <row r="5">
      <c r="A5" t="inlineStr">
        <is>
          <t>Month of peak cash need</t>
        </is>
      </c>
      <c r="B5" s="31">
        <f>MATCH(MIN('Cash flow'!$C$27:$AL$27),'Cash flow'!$C$27:$AL$27,0)</f>
        <v/>
      </c>
    </row>
    <row r="6">
      <c r="A6" t="inlineStr">
        <is>
          <t>Date of peak cash need</t>
        </is>
      </c>
      <c r="B6" s="7">
        <f>IF(ISNUMBER(B5),TEXT(DATE(2027,B5,1),"mmm yyyy"),"—")</f>
        <v/>
      </c>
    </row>
    <row r="7">
      <c r="A7" t="inlineStr">
        <is>
          <t>First month with positive EBITDA (monthly operating break-even)</t>
        </is>
      </c>
      <c r="B7" s="31">
        <f>IFERROR(MATCH(1,'P&amp;L'!$C$33:$AL$33,0),"Not reached in 36 months")</f>
        <v/>
      </c>
    </row>
    <row r="8">
      <c r="A8" t="inlineStr">
        <is>
          <t>Date of monthly break-even</t>
        </is>
      </c>
      <c r="B8" s="7">
        <f>IF(ISNUMBER(B7),TEXT(DATE(2027,B7,1),"mmm yyyy"),"—")</f>
        <v/>
      </c>
    </row>
    <row r="9">
      <c r="A9" t="inlineStr">
        <is>
          <t>First month with positive cumulative net result</t>
        </is>
      </c>
      <c r="B9" s="31">
        <f>IFERROR(MATCH(1,'P&amp;L'!$C$38:$AL$38,0),"Not reached in 36 months")</f>
        <v/>
      </c>
    </row>
    <row r="10">
      <c r="A10" t="inlineStr">
        <is>
          <t>Minimum closing cash AFTER funding</t>
        </is>
      </c>
      <c r="B10" s="30">
        <f>MIN('Cash flow'!$C$25:$AL$25)</f>
        <v/>
      </c>
    </row>
    <row r="11">
      <c r="A11" t="inlineStr">
        <is>
          <t>Month of minimum closing cash</t>
        </is>
      </c>
      <c r="B11" s="31">
        <f>MATCH(MIN('Cash flow'!$C$25:$AL$25),'Cash flow'!$C$25:$AL$25,0)</f>
        <v/>
      </c>
    </row>
    <row r="12">
      <c r="A12" t="inlineStr">
        <is>
          <t>Funded-through check</t>
        </is>
      </c>
      <c r="B12" s="7">
        <f>IF(B10&gt;=0,"Funding covers all 36 months","SHORTFALL — cash goes negative; raise earlier/more or cut cost")</f>
        <v/>
      </c>
    </row>
    <row r="13">
      <c r="A13" t="inlineStr">
        <is>
          <t>Closing cash at month 36 (Dec 2029)</t>
        </is>
      </c>
      <c r="B13" s="30">
        <f>INDEX('Cash flow'!$C$25:$AL$25,1,36)</f>
        <v/>
      </c>
    </row>
    <row r="14">
      <c r="A14" t="inlineStr">
        <is>
          <t>Runway at month 36 (months)</t>
        </is>
      </c>
      <c r="B14" s="40">
        <f>INDEX('Cash flow'!$C$29:$AL$29,1,36)</f>
        <v/>
      </c>
    </row>
    <row r="15">
      <c r="A15" t="inlineStr">
        <is>
          <t>Total equity raised in model (36 months)</t>
        </is>
      </c>
      <c r="B15" s="30">
        <f>SUM('Cash flow'!$C$19:$AL$19)+SUM('Cash flow'!$C$20:$AL$20)+SUM('Cash flow'!$C$21:$AL$21)</f>
        <v/>
      </c>
    </row>
    <row r="16">
      <c r="A16" t="inlineStr">
        <is>
          <t>Total grant income in model (36 months)</t>
        </is>
      </c>
      <c r="B16" s="30">
        <f>SUM('Cash flow'!$C$18:$AL$18)</f>
        <v/>
      </c>
    </row>
    <row r="17">
      <c r="A17" t="inlineStr">
        <is>
          <t>3-year revenue</t>
        </is>
      </c>
      <c r="B17" s="30">
        <f>SUM('P&amp;L'!$C$12:$AL$12)</f>
        <v/>
      </c>
    </row>
    <row r="18">
      <c r="A18" t="inlineStr">
        <is>
          <t>3-year EBITDA</t>
        </is>
      </c>
      <c r="B18" s="30">
        <f>SUM('P&amp;L'!$C$32:$AL$32)</f>
        <v/>
      </c>
    </row>
    <row r="19">
      <c r="A19" t="inlineStr">
        <is>
          <t>Headcount at month 36</t>
        </is>
      </c>
      <c r="B19" s="31">
        <f>INDEX('Headcount'!$C$18:$AL$18,1,36)</f>
        <v/>
      </c>
    </row>
    <row r="20">
      <c r="A20" t="inlineStr">
        <is>
          <t>First month of SUSTAINED positive EBITDA (stays positive to month 36)</t>
        </is>
      </c>
      <c r="B20" s="31">
        <f>IFERROR(MATCH(1,'P&amp;L'!$C$34:$AL$34,0),"Not reached in 36 months")</f>
        <v/>
      </c>
    </row>
    <row r="22">
      <c r="A22" s="5" t="inlineStr">
        <is>
          <t>Funding rounds in the active scenario (PROPOSED; every round is conditional on the milestones in 09_FUNDING_STRATEGY.md)</t>
        </is>
      </c>
    </row>
    <row r="23">
      <c r="A23" s="7" t="inlineStr">
        <is>
          <t>Round</t>
        </is>
      </c>
      <c r="B23" s="7" t="inlineStr">
        <is>
          <t>Month</t>
        </is>
      </c>
      <c r="C23" s="7" t="inlineStr">
        <is>
          <t>Date</t>
        </is>
      </c>
      <c r="D23" s="7" t="inlineStr">
        <is>
          <t>Amount (GBP)</t>
        </is>
      </c>
      <c r="E23" s="7" t="inlineStr">
        <is>
          <t>Cumulative cash before this round (model)</t>
        </is>
      </c>
    </row>
    <row r="24">
      <c r="A24" t="inlineStr">
        <is>
          <t>Pre-seed (SEIS/EIS)</t>
        </is>
      </c>
      <c r="B24">
        <f>Assumptions!$F$122</f>
        <v/>
      </c>
      <c r="C24">
        <f>IF(Assumptions!$F$122&lt;=36,TEXT(DATE(2027,Assumptions!$F$122,1),"mmm yyyy"),"not in model")</f>
        <v/>
      </c>
      <c r="D24" s="19">
        <f>Assumptions!$F$121</f>
        <v/>
      </c>
      <c r="E24" s="19">
        <f>IF(Assumptions!$F$122&lt;=36,INDEX('Cash flow'!$C$27:$AL$27,1,Assumptions!$F$122),"—")</f>
        <v/>
      </c>
    </row>
    <row r="25">
      <c r="A25" t="inlineStr">
        <is>
          <t>Seed</t>
        </is>
      </c>
      <c r="B25">
        <f>Assumptions!$F$124</f>
        <v/>
      </c>
      <c r="C25">
        <f>IF(Assumptions!$F$124&lt;=36,TEXT(DATE(2027,Assumptions!$F$124,1),"mmm yyyy"),"not in model")</f>
        <v/>
      </c>
      <c r="D25" s="19">
        <f>Assumptions!$F$123</f>
        <v/>
      </c>
      <c r="E25" s="19">
        <f>IF(Assumptions!$F$124&lt;=36,INDEX('Cash flow'!$C$27:$AL$27,1,Assumptions!$F$124),"—")</f>
        <v/>
      </c>
    </row>
    <row r="26">
      <c r="A26" t="inlineStr">
        <is>
          <t>Series A</t>
        </is>
      </c>
      <c r="B26">
        <f>Assumptions!$F$126</f>
        <v/>
      </c>
      <c r="C26">
        <f>IF(Assumptions!$F$126&lt;=36,TEXT(DATE(2027,Assumptions!$F$126,1),"mmm yyyy"),"not in model")</f>
        <v/>
      </c>
      <c r="D26" s="19">
        <f>Assumptions!$F$125</f>
        <v/>
      </c>
      <c r="E26" s="19">
        <f>IF(Assumptions!$F$126&lt;=36,INDEX('Cash flow'!$C$27:$AL$27,1,Assumptions!$F$126),"—")</f>
        <v/>
      </c>
    </row>
    <row r="27">
      <c r="A27" t="inlineStr">
        <is>
          <t>Grant 1</t>
        </is>
      </c>
      <c r="B27">
        <f>Assumptions!$F$128</f>
        <v/>
      </c>
      <c r="C27">
        <f>IF(Assumptions!$F$128&lt;=36,TEXT(DATE(2027,Assumptions!$F$128,1),"mmm yyyy"),"not in model")</f>
        <v/>
      </c>
      <c r="D27" s="19">
        <f>Assumptions!$F$127</f>
        <v/>
      </c>
      <c r="E27" s="19">
        <f>IF(Assumptions!$F$128&lt;=36,INDEX('Cash flow'!$C$27:$AL$27,1,Assumptions!$F$128),"—")</f>
        <v/>
      </c>
    </row>
    <row r="28">
      <c r="A28" t="inlineStr">
        <is>
          <t>Grant 2</t>
        </is>
      </c>
      <c r="B28">
        <f>Assumptions!$F$130</f>
        <v/>
      </c>
      <c r="C28">
        <f>IF(Assumptions!$F$130&lt;=36,TEXT(DATE(2027,Assumptions!$F$130,1),"mmm yyyy"),"not in model")</f>
        <v/>
      </c>
      <c r="D28" s="19">
        <f>Assumptions!$F$129</f>
        <v/>
      </c>
      <c r="E28" s="19">
        <f>IF(Assumptions!$F$130&lt;=36,INDEX('Cash flow'!$C$27:$AL$27,1,Assumptions!$F$130),"—")</f>
        <v/>
      </c>
    </row>
    <row r="30">
      <c r="A30" s="5" t="inlineStr">
        <is>
          <t>Reading this sheet</t>
        </is>
      </c>
    </row>
    <row r="31">
      <c r="A31" s="4" t="inlineStr">
        <is>
          <t>• Peak cash need is the external money required to keep cash ≥ 0 with no equity or grants — the number to raise (plus a buffer of 20–30%).</t>
        </is>
      </c>
    </row>
    <row r="32">
      <c r="A32" s="4" t="inlineStr">
        <is>
          <t>• Break-even = first month EBITDA &gt; 0 (before grant income) — this can be a pre-salary blip in months 2–4; use the SUSTAINED figure (row 20) as the real break-even. Cumulative break-even is when losses to date are recovered.</t>
        </is>
      </c>
    </row>
    <row r="33">
      <c r="A33" s="4" t="inlineStr">
        <is>
          <t>• If the funded-through check shows SHORTFALL, the scenario's rounds are too small or too late for its cost base.</t>
        </is>
      </c>
    </row>
    <row r="34">
      <c r="A34" s="4" t="inlineStr">
        <is>
          <t>• Grants are recognised when received; they are competitive and none is secured (TO VALIDATE).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44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s="38" t="inlineStr">
        <is>
          <t>Dashboard — active scenario</t>
        </is>
      </c>
    </row>
    <row r="2">
      <c r="A2" s="4">
        <f>"Scenario: "&amp;Assumptions!$D$4&amp;"   (change Assumptions!C4). Scenario values, not actuals."</f>
        <v/>
      </c>
    </row>
    <row r="4">
      <c r="A4" s="20" t="inlineStr">
        <is>
          <t>Metric</t>
        </is>
      </c>
      <c r="B4" s="20" t="inlineStr">
        <is>
          <t>FY2027</t>
        </is>
      </c>
      <c r="C4" s="20" t="inlineStr">
        <is>
          <t>FY2028</t>
        </is>
      </c>
      <c r="D4" s="20" t="inlineStr">
        <is>
          <t>FY2029</t>
        </is>
      </c>
      <c r="E4" s="20" t="inlineStr">
        <is>
          <t>3-year</t>
        </is>
      </c>
    </row>
    <row r="5">
      <c r="A5" s="22" t="inlineStr">
        <is>
          <t>Advisory revenue</t>
        </is>
      </c>
      <c r="B5" s="19">
        <f>'P&amp;L'!AN8</f>
        <v/>
      </c>
      <c r="C5" s="19">
        <f>'P&amp;L'!AO8</f>
        <v/>
      </c>
      <c r="D5" s="19">
        <f>'P&amp;L'!AP8</f>
        <v/>
      </c>
      <c r="E5" s="19">
        <f>'P&amp;L'!AQ8</f>
        <v/>
      </c>
    </row>
    <row r="6">
      <c r="A6" s="22" t="inlineStr">
        <is>
          <t>Consulting revenue</t>
        </is>
      </c>
      <c r="B6" s="19">
        <f>'P&amp;L'!AN9</f>
        <v/>
      </c>
      <c r="C6" s="19">
        <f>'P&amp;L'!AO9</f>
        <v/>
      </c>
      <c r="D6" s="19">
        <f>'P&amp;L'!AP9</f>
        <v/>
      </c>
      <c r="E6" s="19">
        <f>'P&amp;L'!AQ9</f>
        <v/>
      </c>
    </row>
    <row r="7">
      <c r="A7" s="22" t="inlineStr">
        <is>
          <t>E-learning revenue</t>
        </is>
      </c>
      <c r="B7" s="19">
        <f>'P&amp;L'!AN10</f>
        <v/>
      </c>
      <c r="C7" s="19">
        <f>'P&amp;L'!AO10</f>
        <v/>
      </c>
      <c r="D7" s="19">
        <f>'P&amp;L'!AP10</f>
        <v/>
      </c>
      <c r="E7" s="19">
        <f>'P&amp;L'!AQ10</f>
        <v/>
      </c>
    </row>
    <row r="8">
      <c r="A8" s="22" t="inlineStr">
        <is>
          <t>MaternaLink revenue (in development)</t>
        </is>
      </c>
      <c r="B8" s="19">
        <f>'P&amp;L'!AN11</f>
        <v/>
      </c>
      <c r="C8" s="19">
        <f>'P&amp;L'!AO11</f>
        <v/>
      </c>
      <c r="D8" s="19">
        <f>'P&amp;L'!AP11</f>
        <v/>
      </c>
      <c r="E8" s="19">
        <f>'P&amp;L'!AQ11</f>
        <v/>
      </c>
    </row>
    <row r="9">
      <c r="A9" s="7" t="inlineStr">
        <is>
          <t>TOTAL REVENUE</t>
        </is>
      </c>
      <c r="B9" s="19">
        <f>'P&amp;L'!AN12</f>
        <v/>
      </c>
      <c r="C9" s="19">
        <f>'P&amp;L'!AO12</f>
        <v/>
      </c>
      <c r="D9" s="19">
        <f>'P&amp;L'!AP12</f>
        <v/>
      </c>
      <c r="E9" s="19">
        <f>'P&amp;L'!AQ12</f>
        <v/>
      </c>
    </row>
    <row r="10">
      <c r="A10" s="22" t="inlineStr">
        <is>
          <t>Gross profit</t>
        </is>
      </c>
      <c r="B10" s="19">
        <f>'P&amp;L'!AN14</f>
        <v/>
      </c>
      <c r="C10" s="19">
        <f>'P&amp;L'!AO14</f>
        <v/>
      </c>
      <c r="D10" s="19">
        <f>'P&amp;L'!AP14</f>
        <v/>
      </c>
      <c r="E10" s="19">
        <f>'P&amp;L'!AQ14</f>
        <v/>
      </c>
    </row>
    <row r="11">
      <c r="A11" s="22" t="inlineStr">
        <is>
          <t>Gross margin %</t>
        </is>
      </c>
      <c r="B11" s="25">
        <f>'P&amp;L'!AN15</f>
        <v/>
      </c>
      <c r="C11" s="25">
        <f>'P&amp;L'!AO15</f>
        <v/>
      </c>
      <c r="D11" s="25">
        <f>'P&amp;L'!AP15</f>
        <v/>
      </c>
      <c r="E11" s="25">
        <f>'P&amp;L'!AQ15</f>
        <v/>
      </c>
    </row>
    <row r="12">
      <c r="A12" s="22" t="inlineStr">
        <is>
          <t>Total operating expenses</t>
        </is>
      </c>
      <c r="B12" s="19">
        <f>'P&amp;L'!AN30</f>
        <v/>
      </c>
      <c r="C12" s="19">
        <f>'P&amp;L'!AO30</f>
        <v/>
      </c>
      <c r="D12" s="19">
        <f>'P&amp;L'!AP30</f>
        <v/>
      </c>
      <c r="E12" s="19">
        <f>'P&amp;L'!AQ30</f>
        <v/>
      </c>
    </row>
    <row r="13">
      <c r="A13" s="22" t="inlineStr">
        <is>
          <t>EBITDA (before grants)</t>
        </is>
      </c>
      <c r="B13" s="19">
        <f>'P&amp;L'!AN32</f>
        <v/>
      </c>
      <c r="C13" s="19">
        <f>'P&amp;L'!AO32</f>
        <v/>
      </c>
      <c r="D13" s="19">
        <f>'P&amp;L'!AP32</f>
        <v/>
      </c>
      <c r="E13" s="19">
        <f>'P&amp;L'!AQ32</f>
        <v/>
      </c>
    </row>
    <row r="14">
      <c r="A14" s="22" t="inlineStr">
        <is>
          <t>Grant income</t>
        </is>
      </c>
      <c r="B14" s="19">
        <f>'P&amp;L'!AN35</f>
        <v/>
      </c>
      <c r="C14" s="19">
        <f>'P&amp;L'!AO35</f>
        <v/>
      </c>
      <c r="D14" s="19">
        <f>'P&amp;L'!AP35</f>
        <v/>
      </c>
      <c r="E14" s="19">
        <f>'P&amp;L'!AQ35</f>
        <v/>
      </c>
    </row>
    <row r="15">
      <c r="A15" s="22" t="inlineStr">
        <is>
          <t>Net result</t>
        </is>
      </c>
      <c r="B15" s="19">
        <f>'P&amp;L'!AN36</f>
        <v/>
      </c>
      <c r="C15" s="19">
        <f>'P&amp;L'!AO36</f>
        <v/>
      </c>
      <c r="D15" s="19">
        <f>'P&amp;L'!AP36</f>
        <v/>
      </c>
      <c r="E15" s="19">
        <f>'P&amp;L'!AQ36</f>
        <v/>
      </c>
    </row>
    <row r="16">
      <c r="A16" s="22" t="inlineStr">
        <is>
          <t>Net operating cash flow</t>
        </is>
      </c>
      <c r="B16" s="19">
        <f>'Cash flow'!AN15</f>
        <v/>
      </c>
      <c r="C16" s="19">
        <f>'Cash flow'!AO15</f>
        <v/>
      </c>
      <c r="D16" s="19">
        <f>'Cash flow'!AP15</f>
        <v/>
      </c>
      <c r="E16" s="19">
        <f>'Cash flow'!AQ15</f>
        <v/>
      </c>
    </row>
    <row r="17">
      <c r="A17" s="22" t="inlineStr">
        <is>
          <t>Funding received (equity + grants)</t>
        </is>
      </c>
      <c r="B17" s="19">
        <f>'Cash flow'!AN22</f>
        <v/>
      </c>
      <c r="C17" s="19">
        <f>'Cash flow'!AO22</f>
        <v/>
      </c>
      <c r="D17" s="19">
        <f>'Cash flow'!AP22</f>
        <v/>
      </c>
      <c r="E17" s="19">
        <f>'Cash flow'!AQ22</f>
        <v/>
      </c>
    </row>
    <row r="18">
      <c r="A18" s="22" t="inlineStr">
        <is>
          <t>Closing cash (year end)</t>
        </is>
      </c>
      <c r="B18" s="19">
        <f>'Cash flow'!AN25</f>
        <v/>
      </c>
      <c r="C18" s="19">
        <f>'Cash flow'!AO25</f>
        <v/>
      </c>
      <c r="D18" s="19">
        <f>'Cash flow'!AP25</f>
        <v/>
      </c>
      <c r="E18" s="19">
        <f>'Cash flow'!AQ25</f>
        <v/>
      </c>
    </row>
    <row r="19">
      <c r="A19" s="22" t="inlineStr">
        <is>
          <t>Headcount (year end)</t>
        </is>
      </c>
      <c r="B19" s="27">
        <f>'Headcount'!AN18</f>
        <v/>
      </c>
      <c r="C19" s="27">
        <f>'Headcount'!AO18</f>
        <v/>
      </c>
      <c r="D19" s="27">
        <f>'Headcount'!AP18</f>
        <v/>
      </c>
      <c r="E19" s="27">
        <f>'Headcount'!AQ18</f>
        <v/>
      </c>
    </row>
    <row r="21">
      <c r="A21" s="5" t="inlineStr">
        <is>
          <t>Funding metrics</t>
        </is>
      </c>
    </row>
    <row r="22">
      <c r="A22" t="inlineStr">
        <is>
          <t>Peak cash need before external funding</t>
        </is>
      </c>
      <c r="B22" s="30">
        <f>'Funding requirement'!B4</f>
        <v/>
      </c>
    </row>
    <row r="23">
      <c r="A23" t="inlineStr">
        <is>
          <t>Month of peak cash need</t>
        </is>
      </c>
      <c r="B23" s="31">
        <f>'Funding requirement'!B5</f>
        <v/>
      </c>
    </row>
    <row r="24">
      <c r="A24" t="inlineStr">
        <is>
          <t>First month with positive EBITDA</t>
        </is>
      </c>
      <c r="B24" s="31">
        <f>'Funding requirement'!B7</f>
        <v/>
      </c>
    </row>
    <row r="25">
      <c r="A25" t="inlineStr">
        <is>
          <t>First month of sustained positive EBITDA</t>
        </is>
      </c>
      <c r="B25" s="31">
        <f>'Funding requirement'!B20</f>
        <v/>
      </c>
    </row>
    <row r="26">
      <c r="A26" t="inlineStr">
        <is>
          <t>Minimum closing cash after funding</t>
        </is>
      </c>
      <c r="B26" s="30">
        <f>'Funding requirement'!B10</f>
        <v/>
      </c>
    </row>
    <row r="27">
      <c r="A27" t="inlineStr">
        <is>
          <t>Funded-through check</t>
        </is>
      </c>
      <c r="B27" s="7">
        <f>'Funding requirement'!B12</f>
        <v/>
      </c>
    </row>
    <row r="28">
      <c r="A28" t="inlineStr">
        <is>
          <t>Runway at month 36 (months)</t>
        </is>
      </c>
      <c r="B28" s="40">
        <f>'Funding requirement'!B14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53"/>
  <sheetViews>
    <sheetView workbookViewId="0">
      <selection activeCell="A1" sqref="A1"/>
    </sheetView>
  </sheetViews>
  <sheetFormatPr baseColWidth="8" defaultRowHeight="15"/>
  <cols>
    <col width="4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38" t="inlineStr">
        <is>
          <t>Sensitivity — Python-computed (static). Re-run build_model.py after changing assumptions.</t>
        </is>
      </c>
    </row>
    <row r="2">
      <c r="A2" s="4" t="inlineStr">
        <is>
          <t>Each table flexes one or two inputs around the named scenario with everything else unchanged.</t>
        </is>
      </c>
    </row>
    <row r="4">
      <c r="A4" s="9" t="inlineStr">
        <is>
          <t>Table 1 — Base scenario: 3-year TOTAL REVENUE (GBP) by founder day rate × utilisation</t>
        </is>
      </c>
      <c r="B4" s="10" t="n"/>
      <c r="C4" s="10" t="n"/>
      <c r="D4" s="10" t="n"/>
    </row>
    <row r="5">
      <c r="A5" s="7" t="inlineStr"/>
      <c r="B5" s="7" t="inlineStr">
        <is>
          <t>Utilisation 30%</t>
        </is>
      </c>
      <c r="C5" s="7" t="inlineStr">
        <is>
          <t>Utilisation 42%</t>
        </is>
      </c>
      <c r="D5" s="7" t="inlineStr">
        <is>
          <t>Utilisation 55%</t>
        </is>
      </c>
    </row>
    <row r="6">
      <c r="A6" t="inlineStr">
        <is>
          <t>Day rate £1,200</t>
        </is>
      </c>
      <c r="B6" s="19" t="n">
        <v>1448541</v>
      </c>
      <c r="C6" s="19" t="n">
        <v>1469140</v>
      </c>
      <c r="D6" s="19" t="n">
        <v>1495273</v>
      </c>
    </row>
    <row r="7">
      <c r="A7" t="inlineStr">
        <is>
          <t>Day rate £1,500</t>
        </is>
      </c>
      <c r="B7" s="19" t="n">
        <v>1448541</v>
      </c>
      <c r="C7" s="19" t="n">
        <v>1474289</v>
      </c>
      <c r="D7" s="19" t="n">
        <v>1506956</v>
      </c>
    </row>
    <row r="8">
      <c r="A8" t="inlineStr">
        <is>
          <t>Day rate £1,800</t>
        </is>
      </c>
      <c r="B8" s="19" t="n">
        <v>1448541</v>
      </c>
      <c r="C8" s="19" t="n">
        <v>1479439</v>
      </c>
      <c r="D8" s="19" t="n">
        <v>1518639</v>
      </c>
    </row>
    <row r="10">
      <c r="A10" s="9" t="inlineStr">
        <is>
          <t>Table 2 — Base scenario: PEAK CASH NEED before external funding (GBP) by day rate × utilisation</t>
        </is>
      </c>
      <c r="B10" s="10" t="n"/>
      <c r="C10" s="10" t="n"/>
      <c r="D10" s="10" t="n"/>
    </row>
    <row r="11">
      <c r="A11" s="7" t="inlineStr"/>
      <c r="B11" s="7" t="inlineStr">
        <is>
          <t>Utilisation 30%</t>
        </is>
      </c>
      <c r="C11" s="7" t="inlineStr">
        <is>
          <t>Utilisation 42%</t>
        </is>
      </c>
      <c r="D11" s="7" t="inlineStr">
        <is>
          <t>Utilisation 55%</t>
        </is>
      </c>
    </row>
    <row r="12">
      <c r="A12" t="inlineStr">
        <is>
          <t>Day rate £1,200</t>
        </is>
      </c>
      <c r="B12" s="19" t="n">
        <v>1082925</v>
      </c>
      <c r="C12" s="19" t="n">
        <v>1063184</v>
      </c>
      <c r="D12" s="19" t="n">
        <v>1038140</v>
      </c>
    </row>
    <row r="13">
      <c r="A13" t="inlineStr">
        <is>
          <t>Day rate £1,500</t>
        </is>
      </c>
      <c r="B13" s="19" t="n">
        <v>1082925</v>
      </c>
      <c r="C13" s="19" t="n">
        <v>1058035</v>
      </c>
      <c r="D13" s="19" t="n">
        <v>1026457</v>
      </c>
    </row>
    <row r="14">
      <c r="A14" t="inlineStr">
        <is>
          <t>Day rate £1,800</t>
        </is>
      </c>
      <c r="B14" s="19" t="n">
        <v>1082925</v>
      </c>
      <c r="C14" s="19" t="n">
        <v>1052885</v>
      </c>
      <c r="D14" s="19" t="n">
        <v>1014774</v>
      </c>
    </row>
    <row r="16">
      <c r="A16" s="9" t="inlineStr">
        <is>
          <t>Table 3 — Base scenario: 3-year EBITDA (GBP) by day rate × utilisation</t>
        </is>
      </c>
      <c r="B16" s="10" t="n"/>
      <c r="C16" s="10" t="n"/>
      <c r="D16" s="10" t="n"/>
    </row>
    <row r="17">
      <c r="A17" s="7" t="inlineStr"/>
      <c r="B17" s="7" t="inlineStr">
        <is>
          <t>Utilisation 30%</t>
        </is>
      </c>
      <c r="C17" s="7" t="inlineStr">
        <is>
          <t>Utilisation 42%</t>
        </is>
      </c>
      <c r="D17" s="7" t="inlineStr">
        <is>
          <t>Utilisation 55%</t>
        </is>
      </c>
    </row>
    <row r="18">
      <c r="A18" t="inlineStr">
        <is>
          <t>Day rate £1,200</t>
        </is>
      </c>
      <c r="B18" s="19" t="n">
        <v>-1057091</v>
      </c>
      <c r="C18" s="19" t="n">
        <v>-1037351</v>
      </c>
      <c r="D18" s="19" t="n">
        <v>-1012306</v>
      </c>
    </row>
    <row r="19">
      <c r="A19" t="inlineStr">
        <is>
          <t>Day rate £1,500</t>
        </is>
      </c>
      <c r="B19" s="19" t="n">
        <v>-1057091</v>
      </c>
      <c r="C19" s="19" t="n">
        <v>-1032201</v>
      </c>
      <c r="D19" s="19" t="n">
        <v>-1000623</v>
      </c>
    </row>
    <row r="20">
      <c r="A20" t="inlineStr">
        <is>
          <t>Day rate £1,800</t>
        </is>
      </c>
      <c r="B20" s="19" t="n">
        <v>-1057091</v>
      </c>
      <c r="C20" s="19" t="n">
        <v>-1027052</v>
      </c>
      <c r="D20" s="19" t="n">
        <v>-988940</v>
      </c>
    </row>
    <row r="22">
      <c r="A22" s="9" t="inlineStr">
        <is>
          <t>Table — Base scenario: MaternaLink licence go-live delay</t>
        </is>
      </c>
      <c r="B22" s="10" t="n"/>
      <c r="C22" s="10" t="n"/>
      <c r="D22" s="10" t="n"/>
      <c r="E22" s="10" t="n"/>
      <c r="F22" s="10" t="n"/>
      <c r="G22" s="10" t="n"/>
    </row>
    <row r="23">
      <c r="A23" s="7" t="inlineStr">
        <is>
          <t>Delay</t>
        </is>
      </c>
      <c r="B23" s="7" t="inlineStr">
        <is>
          <t>MaternaLink 3-yr revenue</t>
        </is>
      </c>
      <c r="C23" s="7" t="inlineStr">
        <is>
          <t>Total 3-yr revenue</t>
        </is>
      </c>
      <c r="D23" s="7" t="inlineStr">
        <is>
          <t>3-yr EBITDA</t>
        </is>
      </c>
      <c r="E23" s="7" t="inlineStr">
        <is>
          <t>Peak cash need</t>
        </is>
      </c>
      <c r="F23" s="7" t="inlineStr">
        <is>
          <t>First EBITDA-positive month</t>
        </is>
      </c>
      <c r="G23" s="7" t="inlineStr">
        <is>
          <t>Closing cash M36</t>
        </is>
      </c>
    </row>
    <row r="24">
      <c r="A24" t="inlineStr">
        <is>
          <t>Go-live delay 0 months (go-live month 19)</t>
        </is>
      </c>
      <c r="B24" s="19" t="n">
        <v>387000</v>
      </c>
      <c r="C24" s="19" t="n">
        <v>1474289</v>
      </c>
      <c r="D24" s="19" t="n">
        <v>-1032201</v>
      </c>
      <c r="E24" s="19" t="n">
        <v>1058035</v>
      </c>
      <c r="F24" t="n">
        <v>4</v>
      </c>
      <c r="G24" s="19" t="n">
        <v>1416965</v>
      </c>
    </row>
    <row r="25">
      <c r="A25" t="inlineStr">
        <is>
          <t>Go-live delay 3 months (go-live month 22)</t>
        </is>
      </c>
      <c r="B25" s="19" t="n">
        <v>345000</v>
      </c>
      <c r="C25" s="19" t="n">
        <v>1432289</v>
      </c>
      <c r="D25" s="19" t="n">
        <v>-1058976</v>
      </c>
      <c r="E25" s="19" t="n">
        <v>1082810</v>
      </c>
      <c r="F25" t="n">
        <v>4</v>
      </c>
      <c r="G25" s="19" t="n">
        <v>1392190</v>
      </c>
    </row>
    <row r="26">
      <c r="A26" t="inlineStr">
        <is>
          <t>Go-live delay 6 months (go-live month 25)</t>
        </is>
      </c>
      <c r="B26" s="19" t="n">
        <v>309000</v>
      </c>
      <c r="C26" s="19" t="n">
        <v>1396289</v>
      </c>
      <c r="D26" s="19" t="n">
        <v>-1081926</v>
      </c>
      <c r="E26" s="19" t="n">
        <v>1103760</v>
      </c>
      <c r="F26" t="n">
        <v>4</v>
      </c>
      <c r="G26" s="19" t="n">
        <v>1371240</v>
      </c>
    </row>
    <row r="27">
      <c r="A27" t="inlineStr">
        <is>
          <t>Go-live delay 12 months (go-live month 31)</t>
        </is>
      </c>
      <c r="B27" s="19" t="n">
        <v>255000</v>
      </c>
      <c r="C27" s="19" t="n">
        <v>1342289</v>
      </c>
      <c r="D27" s="19" t="n">
        <v>-1116351</v>
      </c>
      <c r="E27" s="19" t="n">
        <v>1134185</v>
      </c>
      <c r="F27" t="n">
        <v>4</v>
      </c>
      <c r="G27" s="19" t="n">
        <v>1340815</v>
      </c>
    </row>
    <row r="29">
      <c r="A29" s="9" t="inlineStr">
        <is>
          <t>Table — High-growth scenario: MaternaLink licence go-live delay</t>
        </is>
      </c>
      <c r="B29" s="10" t="n"/>
      <c r="C29" s="10" t="n"/>
      <c r="D29" s="10" t="n"/>
      <c r="E29" s="10" t="n"/>
      <c r="F29" s="10" t="n"/>
      <c r="G29" s="10" t="n"/>
    </row>
    <row r="30">
      <c r="A30" s="7" t="inlineStr">
        <is>
          <t>Delay</t>
        </is>
      </c>
      <c r="B30" s="7" t="inlineStr">
        <is>
          <t>MaternaLink 3-yr revenue</t>
        </is>
      </c>
      <c r="C30" s="7" t="inlineStr">
        <is>
          <t>Total 3-yr revenue</t>
        </is>
      </c>
      <c r="D30" s="7" t="inlineStr">
        <is>
          <t>3-yr EBITDA</t>
        </is>
      </c>
      <c r="E30" s="7" t="inlineStr">
        <is>
          <t>Peak cash need</t>
        </is>
      </c>
      <c r="F30" s="7" t="inlineStr">
        <is>
          <t>First EBITDA-positive month</t>
        </is>
      </c>
      <c r="G30" s="7" t="inlineStr">
        <is>
          <t>Closing cash M36</t>
        </is>
      </c>
    </row>
    <row r="31">
      <c r="A31" t="inlineStr">
        <is>
          <t>Go-live delay 0 months (go-live month 15)</t>
        </is>
      </c>
      <c r="B31" s="19" t="n">
        <v>2301500</v>
      </c>
      <c r="C31" s="19" t="n">
        <v>5249714</v>
      </c>
      <c r="D31" s="19" t="n">
        <v>113985</v>
      </c>
      <c r="E31" s="19" t="n">
        <v>144705</v>
      </c>
      <c r="F31" t="n">
        <v>2</v>
      </c>
      <c r="G31" s="19" t="n">
        <v>3839985</v>
      </c>
    </row>
    <row r="32">
      <c r="A32" t="inlineStr">
        <is>
          <t>Go-live delay 3 months (go-live month 18)</t>
        </is>
      </c>
      <c r="B32" s="19" t="n">
        <v>2001500</v>
      </c>
      <c r="C32" s="19" t="n">
        <v>4949714</v>
      </c>
      <c r="D32" s="19" t="n">
        <v>-122265</v>
      </c>
      <c r="E32" s="19" t="n">
        <v>326751</v>
      </c>
      <c r="F32" t="n">
        <v>2</v>
      </c>
      <c r="G32" s="19" t="n">
        <v>3615735</v>
      </c>
    </row>
    <row r="33">
      <c r="A33" t="inlineStr">
        <is>
          <t>Go-live delay 6 months (go-live month 21)</t>
        </is>
      </c>
      <c r="B33" s="19" t="n">
        <v>1737500</v>
      </c>
      <c r="C33" s="19" t="n">
        <v>4685714</v>
      </c>
      <c r="D33" s="19" t="n">
        <v>-330165</v>
      </c>
      <c r="E33" s="19" t="n">
        <v>495471</v>
      </c>
      <c r="F33" t="n">
        <v>2</v>
      </c>
      <c r="G33" s="19" t="n">
        <v>3419835</v>
      </c>
    </row>
    <row r="34">
      <c r="A34" t="inlineStr">
        <is>
          <t>Go-live delay 12 months (go-live month 27)</t>
        </is>
      </c>
      <c r="B34" s="19" t="n">
        <v>1317500</v>
      </c>
      <c r="C34" s="19" t="n">
        <v>4265714</v>
      </c>
      <c r="D34" s="19" t="n">
        <v>-660915</v>
      </c>
      <c r="E34" s="19" t="n">
        <v>786915</v>
      </c>
      <c r="F34" t="n">
        <v>2</v>
      </c>
      <c r="G34" s="19" t="n">
        <v>3113085</v>
      </c>
    </row>
    <row r="36">
      <c r="A36" s="9" t="inlineStr">
        <is>
          <t>Table — Conservative scenario: MaternaLink licence go-live delay</t>
        </is>
      </c>
      <c r="B36" s="10" t="n"/>
      <c r="C36" s="10" t="n"/>
      <c r="D36" s="10" t="n"/>
      <c r="E36" s="10" t="n"/>
      <c r="F36" s="10" t="n"/>
      <c r="G36" s="10" t="n"/>
    </row>
    <row r="37">
      <c r="A37" s="7" t="inlineStr">
        <is>
          <t>Delay</t>
        </is>
      </c>
      <c r="B37" s="7" t="inlineStr">
        <is>
          <t>MaternaLink 3-yr revenue</t>
        </is>
      </c>
      <c r="C37" s="7" t="inlineStr">
        <is>
          <t>Total 3-yr revenue</t>
        </is>
      </c>
      <c r="D37" s="7" t="inlineStr">
        <is>
          <t>3-yr EBITDA</t>
        </is>
      </c>
      <c r="E37" s="7" t="inlineStr">
        <is>
          <t>Peak cash need</t>
        </is>
      </c>
      <c r="F37" s="7" t="inlineStr">
        <is>
          <t>First EBITDA-positive month</t>
        </is>
      </c>
      <c r="G37" s="7" t="inlineStr">
        <is>
          <t>Closing cash M36</t>
        </is>
      </c>
    </row>
    <row r="38">
      <c r="A38" t="inlineStr">
        <is>
          <t>Go-live delay 0 months (go-live month 27)</t>
        </is>
      </c>
      <c r="B38" s="19" t="n">
        <v>71479</v>
      </c>
      <c r="C38" s="19" t="n">
        <v>412514</v>
      </c>
      <c r="D38" s="19" t="n">
        <v>-239543</v>
      </c>
      <c r="E38" s="19" t="n">
        <v>228872</v>
      </c>
      <c r="F38" t="n">
        <v>3</v>
      </c>
      <c r="G38" s="19" t="n">
        <v>21128</v>
      </c>
    </row>
    <row r="39">
      <c r="A39" t="inlineStr">
        <is>
          <t>Go-live delay 3 months (go-live month 30)</t>
        </is>
      </c>
      <c r="B39" s="19" t="n">
        <v>68029</v>
      </c>
      <c r="C39" s="19" t="n">
        <v>409064</v>
      </c>
      <c r="D39" s="19" t="n">
        <v>-240893</v>
      </c>
      <c r="E39" s="19" t="n">
        <v>229935</v>
      </c>
      <c r="F39" t="n">
        <v>3</v>
      </c>
      <c r="G39" s="19" t="n">
        <v>20065</v>
      </c>
    </row>
    <row r="40">
      <c r="A40" t="inlineStr">
        <is>
          <t>Go-live delay 6 months (go-live month 33)</t>
        </is>
      </c>
      <c r="B40" s="19" t="n">
        <v>65442</v>
      </c>
      <c r="C40" s="19" t="n">
        <v>406477</v>
      </c>
      <c r="D40" s="19" t="n">
        <v>-241906</v>
      </c>
      <c r="E40" s="19" t="n">
        <v>230660</v>
      </c>
      <c r="F40" t="n">
        <v>3</v>
      </c>
      <c r="G40" s="19" t="n">
        <v>19340</v>
      </c>
    </row>
    <row r="41">
      <c r="A41" t="inlineStr">
        <is>
          <t>Go-live delay 12 months (go-live month 39)</t>
        </is>
      </c>
      <c r="B41" s="19" t="n">
        <v>63333</v>
      </c>
      <c r="C41" s="19" t="n">
        <v>404369</v>
      </c>
      <c r="D41" s="19" t="n">
        <v>-242731</v>
      </c>
      <c r="E41" s="19" t="n">
        <v>230814</v>
      </c>
      <c r="F41" t="n">
        <v>3</v>
      </c>
      <c r="G41" s="19" t="n">
        <v>19186</v>
      </c>
    </row>
    <row r="43">
      <c r="A43" s="9" t="inlineStr">
        <is>
          <t>Table — Base scenario one-at-a-time flex (Base 3-yr revenue £1,474,289; 3-yr EBITDA £-1,032,201; peak need £1,058,035)</t>
        </is>
      </c>
      <c r="B43" s="10" t="n"/>
      <c r="C43" s="10" t="n"/>
      <c r="D43" s="10" t="n"/>
      <c r="E43" s="10" t="n"/>
      <c r="F43" s="10" t="n"/>
      <c r="G43" s="10" t="n"/>
      <c r="H43" s="10" t="n"/>
      <c r="I43" s="10" t="n"/>
    </row>
    <row r="44">
      <c r="A44" s="7" t="inlineStr">
        <is>
          <t>Input</t>
        </is>
      </c>
      <c r="B44" s="7" t="inlineStr">
        <is>
          <t>Low</t>
        </is>
      </c>
      <c r="C44" s="7" t="inlineStr">
        <is>
          <t>High</t>
        </is>
      </c>
      <c r="D44" s="7" t="inlineStr">
        <is>
          <t>Δ Revenue (low)</t>
        </is>
      </c>
      <c r="E44" s="7" t="inlineStr">
        <is>
          <t>Δ Revenue (high)</t>
        </is>
      </c>
      <c r="F44" s="7" t="inlineStr">
        <is>
          <t>Δ EBITDA (low)</t>
        </is>
      </c>
      <c r="G44" s="7" t="inlineStr">
        <is>
          <t>Δ EBITDA (high)</t>
        </is>
      </c>
      <c r="H44" s="7" t="inlineStr">
        <is>
          <t>Δ Peak need (low)</t>
        </is>
      </c>
      <c r="I44" s="7" t="inlineStr">
        <is>
          <t>Δ Peak need (high)</t>
        </is>
      </c>
    </row>
    <row r="45">
      <c r="A45" t="inlineStr">
        <is>
          <t>Founder day rate</t>
        </is>
      </c>
      <c r="B45" t="n">
        <v>1200</v>
      </c>
      <c r="C45" t="n">
        <v>1800</v>
      </c>
      <c r="D45" s="19" t="n">
        <v>-5150</v>
      </c>
      <c r="E45" s="19" t="n">
        <v>5150</v>
      </c>
      <c r="F45" s="19" t="n">
        <v>-5150</v>
      </c>
      <c r="G45" s="19" t="n">
        <v>5150</v>
      </c>
      <c r="H45" s="19" t="n">
        <v>5150</v>
      </c>
      <c r="I45" s="19" t="n">
        <v>-5150</v>
      </c>
    </row>
    <row r="46">
      <c r="A46" t="inlineStr">
        <is>
          <t>Founder utilisation</t>
        </is>
      </c>
      <c r="B46" s="23" t="n">
        <v>0.3</v>
      </c>
      <c r="C46" s="23" t="n">
        <v>0.55</v>
      </c>
      <c r="D46" s="19" t="n">
        <v>-25748</v>
      </c>
      <c r="E46" s="19" t="n">
        <v>32667</v>
      </c>
      <c r="F46" s="19" t="n">
        <v>-24890</v>
      </c>
      <c r="G46" s="19" t="n">
        <v>31578</v>
      </c>
      <c r="H46" s="19" t="n">
        <v>24890</v>
      </c>
      <c r="I46" s="19" t="n">
        <v>-31578</v>
      </c>
    </row>
    <row r="47">
      <c r="A47" t="inlineStr">
        <is>
          <t>Average consulting project value</t>
        </is>
      </c>
      <c r="B47" t="n">
        <v>15000</v>
      </c>
      <c r="C47" t="n">
        <v>30000</v>
      </c>
      <c r="D47" s="19" t="n">
        <v>-110833</v>
      </c>
      <c r="E47" s="19" t="n">
        <v>221667</v>
      </c>
      <c r="F47" s="19" t="n">
        <v>-72042</v>
      </c>
      <c r="G47" s="19" t="n">
        <v>144083</v>
      </c>
      <c r="H47" s="19" t="n">
        <v>67875</v>
      </c>
      <c r="I47" s="19" t="n">
        <v>-135750</v>
      </c>
    </row>
    <row r="48">
      <c r="A48" t="inlineStr">
        <is>
          <t>E-learning ARPU</t>
        </is>
      </c>
      <c r="B48" t="n">
        <v>150</v>
      </c>
      <c r="C48" t="n">
        <v>300</v>
      </c>
      <c r="D48" s="19" t="n">
        <v>-43802</v>
      </c>
      <c r="E48" s="19" t="n">
        <v>87604</v>
      </c>
      <c r="F48" s="19" t="n">
        <v>-37232</v>
      </c>
      <c r="G48" s="19" t="n">
        <v>74463</v>
      </c>
      <c r="H48" s="19" t="n">
        <v>37232</v>
      </c>
      <c r="I48" s="19" t="n">
        <v>-74463</v>
      </c>
    </row>
    <row r="49">
      <c r="A49" t="inlineStr">
        <is>
          <t>MaternaLink pilot value per year</t>
        </is>
      </c>
      <c r="B49" t="n">
        <v>40000</v>
      </c>
      <c r="C49" t="n">
        <v>150000</v>
      </c>
      <c r="D49" s="19" t="n">
        <v>-105000</v>
      </c>
      <c r="E49" s="19" t="n">
        <v>225000</v>
      </c>
      <c r="F49" s="19" t="n">
        <v>-57750</v>
      </c>
      <c r="G49" s="19" t="n">
        <v>123750</v>
      </c>
      <c r="H49" s="19" t="n">
        <v>51917</v>
      </c>
      <c r="I49" s="19" t="n">
        <v>-111250</v>
      </c>
    </row>
    <row r="50">
      <c r="A50" t="inlineStr">
        <is>
          <t>Africa licence £/woman/yr</t>
        </is>
      </c>
      <c r="B50" t="n">
        <v>3</v>
      </c>
      <c r="C50" t="n">
        <v>12</v>
      </c>
      <c r="D50" s="19" t="n">
        <v>-60750</v>
      </c>
      <c r="E50" s="19" t="n">
        <v>121500</v>
      </c>
      <c r="F50" s="19" t="n">
        <v>-60750</v>
      </c>
      <c r="G50" s="19" t="n">
        <v>121500</v>
      </c>
      <c r="H50" s="19" t="n">
        <v>55250</v>
      </c>
      <c r="I50" s="19" t="n">
        <v>-110500</v>
      </c>
    </row>
    <row r="51">
      <c r="A51" t="inlineStr">
        <is>
          <t>UK licence £/woman/yr</t>
        </is>
      </c>
      <c r="B51" t="n">
        <v>8</v>
      </c>
      <c r="C51" t="n">
        <v>40</v>
      </c>
      <c r="D51" s="19" t="n">
        <v>-24300</v>
      </c>
      <c r="E51" s="19" t="n">
        <v>40500</v>
      </c>
      <c r="F51" s="19" t="n">
        <v>-24300</v>
      </c>
      <c r="G51" s="19" t="n">
        <v>40500</v>
      </c>
      <c r="H51" s="19" t="n">
        <v>22100</v>
      </c>
      <c r="I51" s="19" t="n">
        <v>-36833</v>
      </c>
    </row>
    <row r="52">
      <c r="A52" t="inlineStr">
        <is>
          <t>Africa women added per month</t>
        </is>
      </c>
      <c r="B52" t="n">
        <v>250</v>
      </c>
      <c r="C52" t="n">
        <v>3000</v>
      </c>
      <c r="D52" s="19" t="n">
        <v>-57375</v>
      </c>
      <c r="E52" s="19" t="n">
        <v>153000</v>
      </c>
      <c r="F52" s="19" t="n">
        <v>-33469</v>
      </c>
      <c r="G52" s="19" t="n">
        <v>89250</v>
      </c>
      <c r="H52" s="19" t="n">
        <v>27094</v>
      </c>
      <c r="I52" s="19" t="n">
        <v>-72250</v>
      </c>
    </row>
    <row r="53">
      <c r="A53" t="inlineStr">
        <is>
          <t>Retainers Y2/Y3</t>
        </is>
      </c>
      <c r="B53" t="n">
        <v>1</v>
      </c>
      <c r="C53" t="n">
        <v>3</v>
      </c>
      <c r="D53" s="19" t="n">
        <v>-93985</v>
      </c>
      <c r="E53" s="19" t="n">
        <v>96000</v>
      </c>
      <c r="F53" s="19" t="n">
        <v>-91052</v>
      </c>
      <c r="G53" s="19" t="n">
        <v>93000</v>
      </c>
      <c r="H53" s="19" t="n">
        <v>87052</v>
      </c>
      <c r="I53" s="19" t="n">
        <v>-89000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92"/>
  <sheetViews>
    <sheetView workbookViewId="0">
      <selection activeCell="A1" sqref="A1"/>
    </sheetView>
  </sheetViews>
  <sheetFormatPr baseColWidth="8" defaultRowHeight="15"/>
  <cols>
    <col width="48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s="38" t="inlineStr">
        <is>
          <t>Static summary — Python-computed values for all three scenarios (visible without recalculation)</t>
        </is>
      </c>
    </row>
    <row r="2">
      <c r="A2" s="4" t="inlineStr">
        <is>
          <t>Same logic as the formula sheets (build_model.py, function compute). If a recalculated workbook differs from this sheet, the formulas have been edited.</t>
        </is>
      </c>
    </row>
    <row r="4">
      <c r="A4" s="9" t="inlineStr">
        <is>
          <t>Conservative scenario — annual P&amp;L and cash</t>
        </is>
      </c>
      <c r="B4" s="10" t="n"/>
      <c r="C4" s="10" t="n"/>
      <c r="D4" s="10" t="n"/>
      <c r="E4" s="10" t="n"/>
      <c r="F4" s="10" t="n"/>
    </row>
    <row r="5">
      <c r="A5" s="7" t="inlineStr">
        <is>
          <t>Line</t>
        </is>
      </c>
      <c r="B5" s="7" t="inlineStr">
        <is>
          <t>FY2027</t>
        </is>
      </c>
      <c r="C5" s="7" t="inlineStr">
        <is>
          <t>FY2028</t>
        </is>
      </c>
      <c r="D5" s="7" t="inlineStr">
        <is>
          <t>FY2029</t>
        </is>
      </c>
      <c r="E5" s="7" t="inlineStr">
        <is>
          <t>3-year</t>
        </is>
      </c>
    </row>
    <row r="6">
      <c r="A6" s="22" t="inlineStr">
        <is>
          <t>Advisory</t>
        </is>
      </c>
      <c r="B6" s="19" t="n">
        <v>46568.6</v>
      </c>
      <c r="C6" s="19" t="n">
        <v>42465.6</v>
      </c>
      <c r="D6" s="19" t="n">
        <v>42000</v>
      </c>
      <c r="E6" s="19" t="n">
        <v>131034.2</v>
      </c>
    </row>
    <row r="7">
      <c r="A7" s="22" t="inlineStr">
        <is>
          <t>Consulting</t>
        </is>
      </c>
      <c r="B7" s="19" t="n">
        <v>23750</v>
      </c>
      <c r="C7" s="19" t="n">
        <v>60000</v>
      </c>
      <c r="D7" s="19" t="n">
        <v>75000</v>
      </c>
      <c r="E7" s="19" t="n">
        <v>158750</v>
      </c>
    </row>
    <row r="8">
      <c r="A8" s="22" t="inlineStr">
        <is>
          <t>E-learning</t>
        </is>
      </c>
      <c r="B8" s="19" t="n">
        <v>1200</v>
      </c>
      <c r="C8" s="19" t="n">
        <v>20041.35</v>
      </c>
      <c r="D8" s="19" t="n">
        <v>30009.77</v>
      </c>
      <c r="E8" s="19" t="n">
        <v>51251.12</v>
      </c>
    </row>
    <row r="9">
      <c r="A9" s="22" t="inlineStr">
        <is>
          <t>MaternaLink (in development)</t>
        </is>
      </c>
      <c r="B9" s="19" t="n">
        <v>0</v>
      </c>
      <c r="C9" s="19" t="n">
        <v>23333.33</v>
      </c>
      <c r="D9" s="19" t="n">
        <v>48145.83</v>
      </c>
      <c r="E9" s="19" t="n">
        <v>71479.17</v>
      </c>
    </row>
    <row r="10">
      <c r="A10" s="7" t="inlineStr">
        <is>
          <t>TOTAL REVENUE</t>
        </is>
      </c>
      <c r="B10" s="19" t="n">
        <v>71518.60000000001</v>
      </c>
      <c r="C10" s="19" t="n">
        <v>145840.28</v>
      </c>
      <c r="D10" s="19" t="n">
        <v>195155.6</v>
      </c>
      <c r="E10" s="19" t="n">
        <v>412514.48</v>
      </c>
    </row>
    <row r="11">
      <c r="A11" s="22" t="inlineStr">
        <is>
          <t>Cost of sales</t>
        </is>
      </c>
      <c r="B11" s="19" t="n">
        <v>9141.190000000001</v>
      </c>
      <c r="C11" s="19" t="n">
        <v>34192.27</v>
      </c>
      <c r="D11" s="19" t="n">
        <v>53459.8</v>
      </c>
      <c r="E11" s="19" t="n">
        <v>96793.25999999999</v>
      </c>
    </row>
    <row r="12">
      <c r="A12" s="22" t="inlineStr">
        <is>
          <t>Gross profit</t>
        </is>
      </c>
      <c r="B12" s="19" t="n">
        <v>62377.41</v>
      </c>
      <c r="C12" s="19" t="n">
        <v>111648.01</v>
      </c>
      <c r="D12" s="19" t="n">
        <v>141695.8</v>
      </c>
      <c r="E12" s="19" t="n">
        <v>315721.22</v>
      </c>
    </row>
    <row r="13">
      <c r="A13" s="22" t="inlineStr">
        <is>
          <t>Employment cost</t>
        </is>
      </c>
      <c r="B13" s="19" t="n">
        <v>31157.1</v>
      </c>
      <c r="C13" s="19" t="n">
        <v>100613.7</v>
      </c>
      <c r="D13" s="19" t="n">
        <v>100613.7</v>
      </c>
      <c r="E13" s="19" t="n">
        <v>232384.5</v>
      </c>
    </row>
    <row r="14">
      <c r="A14" s="22" t="inlineStr">
        <is>
          <t>Total operating expenses</t>
        </is>
      </c>
      <c r="B14" s="19" t="n">
        <v>84037.10000000001</v>
      </c>
      <c r="C14" s="19" t="n">
        <v>188813.7</v>
      </c>
      <c r="D14" s="19" t="n">
        <v>282413.7</v>
      </c>
      <c r="E14" s="19" t="n">
        <v>555264.5</v>
      </c>
    </row>
    <row r="15">
      <c r="A15" s="22" t="inlineStr">
        <is>
          <t>EBITDA (before grants)</t>
        </is>
      </c>
      <c r="B15" s="19" t="n">
        <v>-21659.69</v>
      </c>
      <c r="C15" s="19" t="n">
        <v>-77165.69</v>
      </c>
      <c r="D15" s="19" t="n">
        <v>-140717.9</v>
      </c>
      <c r="E15" s="19" t="n">
        <v>-239543.28</v>
      </c>
    </row>
    <row r="16">
      <c r="A16" s="22" t="inlineStr">
        <is>
          <t>Grant income</t>
        </is>
      </c>
      <c r="B16" s="19" t="n">
        <v>0</v>
      </c>
      <c r="C16" s="19" t="n">
        <v>0</v>
      </c>
      <c r="D16" s="19" t="n">
        <v>0</v>
      </c>
      <c r="E16" s="19" t="n">
        <v>0</v>
      </c>
    </row>
    <row r="17">
      <c r="A17" s="22" t="inlineStr">
        <is>
          <t>Net result</t>
        </is>
      </c>
      <c r="B17" s="19" t="n">
        <v>-21659.69</v>
      </c>
      <c r="C17" s="19" t="n">
        <v>-77165.69</v>
      </c>
      <c r="D17" s="19" t="n">
        <v>-140717.9</v>
      </c>
      <c r="E17" s="19" t="n">
        <v>-239543.28</v>
      </c>
    </row>
    <row r="18">
      <c r="A18" s="22" t="inlineStr">
        <is>
          <t>Net operating cash flow</t>
        </is>
      </c>
      <c r="B18" s="19" t="n">
        <v>-29048.49</v>
      </c>
      <c r="C18" s="19" t="n">
        <v>-81649.02</v>
      </c>
      <c r="D18" s="19" t="n">
        <v>-143174.93</v>
      </c>
      <c r="E18" s="19" t="n">
        <v>-253872.44</v>
      </c>
    </row>
    <row r="19">
      <c r="A19" s="22" t="inlineStr">
        <is>
          <t>Closing cash (year end)</t>
        </is>
      </c>
      <c r="B19" s="19" t="n">
        <v>245951.51</v>
      </c>
      <c r="C19" s="19" t="n">
        <v>164302.49</v>
      </c>
      <c r="D19" s="19" t="n">
        <v>21127.56</v>
      </c>
      <c r="E19" s="19" t="n">
        <v>21127.56</v>
      </c>
    </row>
    <row r="20">
      <c r="A20" s="22" t="inlineStr">
        <is>
          <t>Headcount (year end)</t>
        </is>
      </c>
      <c r="B20" s="27" t="n">
        <v>1</v>
      </c>
      <c r="C20" s="27" t="n">
        <v>2</v>
      </c>
      <c r="D20" s="27" t="n">
        <v>2</v>
      </c>
      <c r="E20" s="27" t="n">
        <v>2</v>
      </c>
    </row>
    <row r="21">
      <c r="A21" t="inlineStr">
        <is>
          <t>Gross margin %</t>
        </is>
      </c>
      <c r="B21" s="25" t="n">
        <v>0.8721844154294592</v>
      </c>
      <c r="C21" s="25" t="n">
        <v>0.7655498980896971</v>
      </c>
      <c r="D21" s="25" t="n">
        <v>0.7260657747573465</v>
      </c>
      <c r="E21" s="25" t="n">
        <v>0.7653579133984469</v>
      </c>
    </row>
    <row r="22">
      <c r="A22" t="inlineStr">
        <is>
          <t>Peak cash need before external funding</t>
        </is>
      </c>
      <c r="B22" s="30" t="n">
        <v>228872.44</v>
      </c>
    </row>
    <row r="23">
      <c r="A23" t="inlineStr">
        <is>
          <t>Month of peak cash need</t>
        </is>
      </c>
      <c r="B23" s="31" t="n">
        <v>36</v>
      </c>
    </row>
    <row r="24">
      <c r="A24" t="inlineStr">
        <is>
          <t>First month with positive EBITDA (may be a blip)</t>
        </is>
      </c>
      <c r="B24" s="31" t="n">
        <v>3</v>
      </c>
    </row>
    <row r="25">
      <c r="A25" t="inlineStr">
        <is>
          <t>First month of SUSTAINED positive EBITDA (break-even)</t>
        </is>
      </c>
      <c r="B25" s="31" t="inlineStr">
        <is>
          <t>Not reached in 36 months</t>
        </is>
      </c>
    </row>
    <row r="26">
      <c r="A26" t="inlineStr">
        <is>
          <t>First month cumulative result positive</t>
        </is>
      </c>
      <c r="B26" s="31" t="inlineStr">
        <is>
          <t>Not reached in 36 months</t>
        </is>
      </c>
    </row>
    <row r="27">
      <c r="A27" t="inlineStr">
        <is>
          <t>Minimum closing cash after funding</t>
        </is>
      </c>
      <c r="B27" s="30" t="n">
        <v>4726.19</v>
      </c>
    </row>
    <row r="28">
      <c r="A28" t="inlineStr">
        <is>
          <t>Month of minimum closing cash</t>
        </is>
      </c>
      <c r="B28" s="31" t="n">
        <v>5</v>
      </c>
    </row>
    <row r="29">
      <c r="A29" t="inlineStr">
        <is>
          <t>Closing cash month 36</t>
        </is>
      </c>
      <c r="B29" s="30" t="n">
        <v>21127.56</v>
      </c>
    </row>
    <row r="30">
      <c r="A30" t="inlineStr">
        <is>
          <t>Equity raised in model</t>
        </is>
      </c>
      <c r="B30" s="30" t="n">
        <v>250000</v>
      </c>
    </row>
    <row r="31">
      <c r="A31" t="inlineStr">
        <is>
          <t>Grants in model</t>
        </is>
      </c>
      <c r="B31" s="30" t="n">
        <v>0</v>
      </c>
    </row>
    <row r="32">
      <c r="A32" t="inlineStr">
        <is>
          <t>Runway at month 36 (months)</t>
        </is>
      </c>
      <c r="B32" s="40" t="n">
        <v>1.85</v>
      </c>
    </row>
    <row r="34">
      <c r="A34" s="9" t="inlineStr">
        <is>
          <t>Base scenario — annual P&amp;L and cash</t>
        </is>
      </c>
      <c r="B34" s="10" t="n"/>
      <c r="C34" s="10" t="n"/>
      <c r="D34" s="10" t="n"/>
      <c r="E34" s="10" t="n"/>
      <c r="F34" s="10" t="n"/>
    </row>
    <row r="35">
      <c r="A35" s="7" t="inlineStr">
        <is>
          <t>Line</t>
        </is>
      </c>
      <c r="B35" s="7" t="inlineStr">
        <is>
          <t>FY2027</t>
        </is>
      </c>
      <c r="C35" s="7" t="inlineStr">
        <is>
          <t>FY2028</t>
        </is>
      </c>
      <c r="D35" s="7" t="inlineStr">
        <is>
          <t>FY2029</t>
        </is>
      </c>
      <c r="E35" s="7" t="inlineStr">
        <is>
          <t>3-year</t>
        </is>
      </c>
    </row>
    <row r="36">
      <c r="A36" s="22" t="inlineStr">
        <is>
          <t>Advisory</t>
        </is>
      </c>
      <c r="B36" s="19" t="n">
        <v>69748.03</v>
      </c>
      <c r="C36" s="19" t="n">
        <v>150000</v>
      </c>
      <c r="D36" s="19" t="n">
        <v>204000</v>
      </c>
      <c r="E36" s="19" t="n">
        <v>423748.03</v>
      </c>
    </row>
    <row r="37">
      <c r="A37" s="22" t="inlineStr">
        <is>
          <t>Consulting</t>
        </is>
      </c>
      <c r="B37" s="19" t="n">
        <v>83333.33</v>
      </c>
      <c r="C37" s="19" t="n">
        <v>160000</v>
      </c>
      <c r="D37" s="19" t="n">
        <v>200000</v>
      </c>
      <c r="E37" s="19" t="n">
        <v>443333.33</v>
      </c>
    </row>
    <row r="38">
      <c r="A38" s="22" t="inlineStr">
        <is>
          <t>E-learning</t>
        </is>
      </c>
      <c r="B38" s="19" t="n">
        <v>12930.38</v>
      </c>
      <c r="C38" s="19" t="n">
        <v>73042.10000000001</v>
      </c>
      <c r="D38" s="19" t="n">
        <v>134235.27</v>
      </c>
      <c r="E38" s="19" t="n">
        <v>220207.75</v>
      </c>
    </row>
    <row r="39">
      <c r="A39" s="22" t="inlineStr">
        <is>
          <t>MaternaLink (in development)</t>
        </is>
      </c>
      <c r="B39" s="19" t="n">
        <v>0</v>
      </c>
      <c r="C39" s="19" t="n">
        <v>105000</v>
      </c>
      <c r="D39" s="19" t="n">
        <v>282000</v>
      </c>
      <c r="E39" s="19" t="n">
        <v>387000</v>
      </c>
    </row>
    <row r="40">
      <c r="A40" s="7" t="inlineStr">
        <is>
          <t>TOTAL REVENUE</t>
        </is>
      </c>
      <c r="B40" s="19" t="n">
        <v>166011.74</v>
      </c>
      <c r="C40" s="19" t="n">
        <v>488042.1</v>
      </c>
      <c r="D40" s="19" t="n">
        <v>820235.27</v>
      </c>
      <c r="E40" s="19" t="n">
        <v>1474289.11</v>
      </c>
    </row>
    <row r="41">
      <c r="A41" s="22" t="inlineStr">
        <is>
          <t>Cost of sales</t>
        </is>
      </c>
      <c r="B41" s="19" t="n">
        <v>33339.49</v>
      </c>
      <c r="C41" s="19" t="n">
        <v>114581.32</v>
      </c>
      <c r="D41" s="19" t="n">
        <v>208485.29</v>
      </c>
      <c r="E41" s="19" t="n">
        <v>356406.1</v>
      </c>
    </row>
    <row r="42">
      <c r="A42" s="22" t="inlineStr">
        <is>
          <t>Gross profit</t>
        </is>
      </c>
      <c r="B42" s="19" t="n">
        <v>132672.25</v>
      </c>
      <c r="C42" s="19" t="n">
        <v>373460.79</v>
      </c>
      <c r="D42" s="19" t="n">
        <v>611749.98</v>
      </c>
      <c r="E42" s="19" t="n">
        <v>1117883.02</v>
      </c>
    </row>
    <row r="43">
      <c r="A43" s="22" t="inlineStr">
        <is>
          <t>Employment cost</t>
        </is>
      </c>
      <c r="B43" s="19" t="n">
        <v>94784.67999999999</v>
      </c>
      <c r="C43" s="19" t="n">
        <v>290116.87</v>
      </c>
      <c r="D43" s="19" t="n">
        <v>485582.9</v>
      </c>
      <c r="E43" s="19" t="n">
        <v>870484.45</v>
      </c>
    </row>
    <row r="44">
      <c r="A44" s="22" t="inlineStr">
        <is>
          <t>Total operating expenses</t>
        </is>
      </c>
      <c r="B44" s="19" t="n">
        <v>188184.67</v>
      </c>
      <c r="C44" s="19" t="n">
        <v>563116.88</v>
      </c>
      <c r="D44" s="19" t="n">
        <v>1398782.9</v>
      </c>
      <c r="E44" s="19" t="n">
        <v>2150084.45</v>
      </c>
    </row>
    <row r="45">
      <c r="A45" s="22" t="inlineStr">
        <is>
          <t>EBITDA (before grants)</t>
        </is>
      </c>
      <c r="B45" s="19" t="n">
        <v>-55512.42</v>
      </c>
      <c r="C45" s="19" t="n">
        <v>-189656.09</v>
      </c>
      <c r="D45" s="19" t="n">
        <v>-787032.92</v>
      </c>
      <c r="E45" s="19" t="n">
        <v>-1032201.43</v>
      </c>
    </row>
    <row r="46">
      <c r="A46" s="22" t="inlineStr">
        <is>
          <t>Grant income</t>
        </is>
      </c>
      <c r="B46" s="19" t="n">
        <v>0</v>
      </c>
      <c r="C46" s="19" t="n">
        <v>75000</v>
      </c>
      <c r="D46" s="19" t="n">
        <v>0</v>
      </c>
      <c r="E46" s="19" t="n">
        <v>75000</v>
      </c>
    </row>
    <row r="47">
      <c r="A47" s="22" t="inlineStr">
        <is>
          <t>Net result</t>
        </is>
      </c>
      <c r="B47" s="19" t="n">
        <v>-55512.42</v>
      </c>
      <c r="C47" s="19" t="n">
        <v>-114656.09</v>
      </c>
      <c r="D47" s="19" t="n">
        <v>-787032.92</v>
      </c>
      <c r="E47" s="19" t="n">
        <v>-957201.4300000001</v>
      </c>
    </row>
    <row r="48">
      <c r="A48" s="22" t="inlineStr">
        <is>
          <t>Net operating cash flow</t>
        </is>
      </c>
      <c r="B48" s="19" t="n">
        <v>-70638.66</v>
      </c>
      <c r="C48" s="19" t="n">
        <v>-217779.86</v>
      </c>
      <c r="D48" s="19" t="n">
        <v>-804616.25</v>
      </c>
      <c r="E48" s="19" t="n">
        <v>-1093034.77</v>
      </c>
    </row>
    <row r="49">
      <c r="A49" s="22" t="inlineStr">
        <is>
          <t>Closing cash (year end)</t>
        </is>
      </c>
      <c r="B49" s="19" t="n">
        <v>364361.34</v>
      </c>
      <c r="C49" s="19" t="n">
        <v>2221581.49</v>
      </c>
      <c r="D49" s="19" t="n">
        <v>1416965.23</v>
      </c>
      <c r="E49" s="19" t="n">
        <v>1416965.23</v>
      </c>
    </row>
    <row r="50">
      <c r="A50" s="22" t="inlineStr">
        <is>
          <t>Headcount (year end)</t>
        </is>
      </c>
      <c r="B50" s="27" t="n">
        <v>3</v>
      </c>
      <c r="C50" s="27" t="n">
        <v>7</v>
      </c>
      <c r="D50" s="27" t="n">
        <v>8</v>
      </c>
      <c r="E50" s="27" t="n">
        <v>8</v>
      </c>
    </row>
    <row r="51">
      <c r="A51" t="inlineStr">
        <is>
          <t>Gross margin %</t>
        </is>
      </c>
      <c r="B51" s="25" t="n">
        <v>0.7991738996306268</v>
      </c>
      <c r="C51" s="25" t="n">
        <v>0.7652224777855855</v>
      </c>
      <c r="D51" s="25" t="n">
        <v>0.7458225733368081</v>
      </c>
      <c r="E51" s="25" t="n">
        <v>0.7582522362333166</v>
      </c>
    </row>
    <row r="52">
      <c r="A52" t="inlineStr">
        <is>
          <t>Peak cash need before external funding</t>
        </is>
      </c>
      <c r="B52" s="30" t="n">
        <v>1058034.77</v>
      </c>
    </row>
    <row r="53">
      <c r="A53" t="inlineStr">
        <is>
          <t>Month of peak cash need</t>
        </is>
      </c>
      <c r="B53" s="31" t="n">
        <v>36</v>
      </c>
    </row>
    <row r="54">
      <c r="A54" t="inlineStr">
        <is>
          <t>First month with positive EBITDA (may be a blip)</t>
        </is>
      </c>
      <c r="B54" s="31" t="n">
        <v>4</v>
      </c>
    </row>
    <row r="55">
      <c r="A55" t="inlineStr">
        <is>
          <t>First month of SUSTAINED positive EBITDA (break-even)</t>
        </is>
      </c>
      <c r="B55" s="31" t="inlineStr">
        <is>
          <t>Not reached in 36 months</t>
        </is>
      </c>
    </row>
    <row r="56">
      <c r="A56" t="inlineStr">
        <is>
          <t>First month cumulative result positive</t>
        </is>
      </c>
      <c r="B56" s="31" t="inlineStr">
        <is>
          <t>Not reached in 36 months</t>
        </is>
      </c>
    </row>
    <row r="57">
      <c r="A57" t="inlineStr">
        <is>
          <t>Minimum closing cash after funding</t>
        </is>
      </c>
      <c r="B57" s="30" t="n">
        <v>6098.81</v>
      </c>
    </row>
    <row r="58">
      <c r="A58" t="inlineStr">
        <is>
          <t>Month of minimum closing cash</t>
        </is>
      </c>
      <c r="B58" s="31" t="n">
        <v>3</v>
      </c>
    </row>
    <row r="59">
      <c r="A59" t="inlineStr">
        <is>
          <t>Closing cash month 36</t>
        </is>
      </c>
      <c r="B59" s="30" t="n">
        <v>1416965.23</v>
      </c>
    </row>
    <row r="60">
      <c r="A60" t="inlineStr">
        <is>
          <t>Equity raised in model</t>
        </is>
      </c>
      <c r="B60" s="30" t="n">
        <v>2400000</v>
      </c>
    </row>
    <row r="61">
      <c r="A61" t="inlineStr">
        <is>
          <t>Grants in model</t>
        </is>
      </c>
      <c r="B61" s="30" t="n">
        <v>75000</v>
      </c>
    </row>
    <row r="62">
      <c r="A62" t="inlineStr">
        <is>
          <t>Runway at month 36 (months)</t>
        </is>
      </c>
      <c r="B62" s="40" t="n">
        <v>22.62</v>
      </c>
    </row>
    <row r="64">
      <c r="A64" s="9" t="inlineStr">
        <is>
          <t>High-growth scenario — annual P&amp;L and cash</t>
        </is>
      </c>
      <c r="B64" s="10" t="n"/>
      <c r="C64" s="10" t="n"/>
      <c r="D64" s="10" t="n"/>
      <c r="E64" s="10" t="n"/>
      <c r="F64" s="10" t="n"/>
    </row>
    <row r="65">
      <c r="A65" s="7" t="inlineStr">
        <is>
          <t>Line</t>
        </is>
      </c>
      <c r="B65" s="7" t="inlineStr">
        <is>
          <t>FY2027</t>
        </is>
      </c>
      <c r="C65" s="7" t="inlineStr">
        <is>
          <t>FY2028</t>
        </is>
      </c>
      <c r="D65" s="7" t="inlineStr">
        <is>
          <t>FY2029</t>
        </is>
      </c>
      <c r="E65" s="7" t="inlineStr">
        <is>
          <t>3-year</t>
        </is>
      </c>
    </row>
    <row r="66">
      <c r="A66" s="22" t="inlineStr">
        <is>
          <t>Advisory</t>
        </is>
      </c>
      <c r="B66" s="19" t="n">
        <v>161567</v>
      </c>
      <c r="C66" s="19" t="n">
        <v>300000</v>
      </c>
      <c r="D66" s="19" t="n">
        <v>300000</v>
      </c>
      <c r="E66" s="19" t="n">
        <v>761567</v>
      </c>
    </row>
    <row r="67">
      <c r="A67" s="22" t="inlineStr">
        <is>
          <t>Consulting</t>
        </is>
      </c>
      <c r="B67" s="19" t="n">
        <v>210000</v>
      </c>
      <c r="C67" s="19" t="n">
        <v>420000</v>
      </c>
      <c r="D67" s="19" t="n">
        <v>540000</v>
      </c>
      <c r="E67" s="19" t="n">
        <v>1170000</v>
      </c>
    </row>
    <row r="68">
      <c r="A68" s="22" t="inlineStr">
        <is>
          <t>E-learning</t>
        </is>
      </c>
      <c r="B68" s="19" t="n">
        <v>68879.62</v>
      </c>
      <c r="C68" s="19" t="n">
        <v>295611.68</v>
      </c>
      <c r="D68" s="19" t="n">
        <v>652155.78</v>
      </c>
      <c r="E68" s="19" t="n">
        <v>1016647.08</v>
      </c>
    </row>
    <row r="69">
      <c r="A69" s="22" t="inlineStr">
        <is>
          <t>MaternaLink (in development)</t>
        </is>
      </c>
      <c r="B69" s="19" t="n">
        <v>37500</v>
      </c>
      <c r="C69" s="19" t="n">
        <v>680000</v>
      </c>
      <c r="D69" s="19" t="n">
        <v>1584000</v>
      </c>
      <c r="E69" s="19" t="n">
        <v>2301500</v>
      </c>
    </row>
    <row r="70">
      <c r="A70" s="7" t="inlineStr">
        <is>
          <t>TOTAL REVENUE</t>
        </is>
      </c>
      <c r="B70" s="19" t="n">
        <v>477946.62</v>
      </c>
      <c r="C70" s="19" t="n">
        <v>1695611.68</v>
      </c>
      <c r="D70" s="19" t="n">
        <v>3076155.78</v>
      </c>
      <c r="E70" s="19" t="n">
        <v>5249714.08</v>
      </c>
    </row>
    <row r="71">
      <c r="A71" s="22" t="inlineStr">
        <is>
          <t>Cost of sales</t>
        </is>
      </c>
      <c r="B71" s="19" t="n">
        <v>123181.03</v>
      </c>
      <c r="C71" s="19" t="n">
        <v>438591.75</v>
      </c>
      <c r="D71" s="19" t="n">
        <v>794423.37</v>
      </c>
      <c r="E71" s="19" t="n">
        <v>1356196.14</v>
      </c>
    </row>
    <row r="72">
      <c r="A72" s="22" t="inlineStr">
        <is>
          <t>Gross profit</t>
        </is>
      </c>
      <c r="B72" s="19" t="n">
        <v>354765.59</v>
      </c>
      <c r="C72" s="19" t="n">
        <v>1257019.92</v>
      </c>
      <c r="D72" s="19" t="n">
        <v>2281732.42</v>
      </c>
      <c r="E72" s="19" t="n">
        <v>3893517.93</v>
      </c>
    </row>
    <row r="73">
      <c r="A73" s="22" t="inlineStr">
        <is>
          <t>Employment cost</t>
        </is>
      </c>
      <c r="B73" s="19" t="n">
        <v>190632.47</v>
      </c>
      <c r="C73" s="19" t="n">
        <v>545607.85</v>
      </c>
      <c r="D73" s="19" t="n">
        <v>655692.8</v>
      </c>
      <c r="E73" s="19" t="n">
        <v>1391933.12</v>
      </c>
    </row>
    <row r="74">
      <c r="A74" s="22" t="inlineStr">
        <is>
          <t>Total operating expenses</t>
        </is>
      </c>
      <c r="B74" s="19" t="n">
        <v>330632.47</v>
      </c>
      <c r="C74" s="19" t="n">
        <v>1175607.85</v>
      </c>
      <c r="D74" s="19" t="n">
        <v>2273292.8</v>
      </c>
      <c r="E74" s="19" t="n">
        <v>3779533.12</v>
      </c>
    </row>
    <row r="75">
      <c r="A75" s="22" t="inlineStr">
        <is>
          <t>EBITDA (before grants)</t>
        </is>
      </c>
      <c r="B75" s="19" t="n">
        <v>24133.12</v>
      </c>
      <c r="C75" s="19" t="n">
        <v>81412.07000000001</v>
      </c>
      <c r="D75" s="19" t="n">
        <v>8439.620000000001</v>
      </c>
      <c r="E75" s="19" t="n">
        <v>113984.81</v>
      </c>
    </row>
    <row r="76">
      <c r="A76" s="22" t="inlineStr">
        <is>
          <t>Grant income</t>
        </is>
      </c>
      <c r="B76" s="19" t="n">
        <v>150000</v>
      </c>
      <c r="C76" s="19" t="n">
        <v>250000</v>
      </c>
      <c r="D76" s="19" t="n">
        <v>0</v>
      </c>
      <c r="E76" s="19" t="n">
        <v>400000</v>
      </c>
    </row>
    <row r="77">
      <c r="A77" s="22" t="inlineStr">
        <is>
          <t>Net result</t>
        </is>
      </c>
      <c r="B77" s="19" t="n">
        <v>174133.12</v>
      </c>
      <c r="C77" s="19" t="n">
        <v>331412.07</v>
      </c>
      <c r="D77" s="19" t="n">
        <v>8439.620000000001</v>
      </c>
      <c r="E77" s="19" t="n">
        <v>513984.81</v>
      </c>
    </row>
    <row r="78">
      <c r="A78" s="22" t="inlineStr">
        <is>
          <t>Net operating cash flow</t>
        </is>
      </c>
      <c r="B78" s="19" t="n">
        <v>-30523.58</v>
      </c>
      <c r="C78" s="19" t="n">
        <v>-4931.23</v>
      </c>
      <c r="D78" s="19" t="n">
        <v>-74560.38</v>
      </c>
      <c r="E78" s="19" t="n">
        <v>-110015.19</v>
      </c>
    </row>
    <row r="79">
      <c r="A79" s="22" t="inlineStr">
        <is>
          <t>Closing cash (year end)</t>
        </is>
      </c>
      <c r="B79" s="19" t="n">
        <v>669476.42</v>
      </c>
      <c r="C79" s="19" t="n">
        <v>3914545.19</v>
      </c>
      <c r="D79" s="19" t="n">
        <v>3839984.81</v>
      </c>
      <c r="E79" s="19" t="n">
        <v>3839984.81</v>
      </c>
    </row>
    <row r="80">
      <c r="A80" s="22" t="inlineStr">
        <is>
          <t>Headcount (year end)</t>
        </is>
      </c>
      <c r="B80" s="27" t="n">
        <v>6</v>
      </c>
      <c r="C80" s="27" t="n">
        <v>10</v>
      </c>
      <c r="D80" s="27" t="n">
        <v>10</v>
      </c>
      <c r="E80" s="27" t="n">
        <v>10</v>
      </c>
    </row>
    <row r="81">
      <c r="A81" t="inlineStr">
        <is>
          <t>Gross margin %</t>
        </is>
      </c>
      <c r="B81" s="25" t="n">
        <v>0.74227032572702</v>
      </c>
      <c r="C81" s="25" t="n">
        <v>0.7413371483484427</v>
      </c>
      <c r="D81" s="25" t="n">
        <v>0.7417480051896446</v>
      </c>
      <c r="E81" s="25" t="n">
        <v>0.7416628553477914</v>
      </c>
    </row>
    <row r="82">
      <c r="A82" t="inlineStr">
        <is>
          <t>Peak cash need before external funding</t>
        </is>
      </c>
      <c r="B82" s="30" t="n">
        <v>144704.74</v>
      </c>
    </row>
    <row r="83">
      <c r="A83" t="inlineStr">
        <is>
          <t>Month of peak cash need</t>
        </is>
      </c>
      <c r="B83" s="31" t="n">
        <v>31</v>
      </c>
    </row>
    <row r="84">
      <c r="A84" t="inlineStr">
        <is>
          <t>First month with positive EBITDA (may be a blip)</t>
        </is>
      </c>
      <c r="B84" s="31" t="n">
        <v>2</v>
      </c>
    </row>
    <row r="85">
      <c r="A85" t="inlineStr">
        <is>
          <t>First month of SUSTAINED positive EBITDA (break-even)</t>
        </is>
      </c>
      <c r="B85" s="31" t="n">
        <v>31</v>
      </c>
    </row>
    <row r="86">
      <c r="A86" t="inlineStr">
        <is>
          <t>First month cumulative result positive</t>
        </is>
      </c>
      <c r="B86" s="31" t="n">
        <v>9</v>
      </c>
    </row>
    <row r="87">
      <c r="A87" t="inlineStr">
        <is>
          <t>Minimum closing cash after funding</t>
        </is>
      </c>
      <c r="B87" s="30" t="n">
        <v>12750</v>
      </c>
    </row>
    <row r="88">
      <c r="A88" t="inlineStr">
        <is>
          <t>Month of minimum closing cash</t>
        </is>
      </c>
      <c r="B88" s="31" t="n">
        <v>2</v>
      </c>
    </row>
    <row r="89">
      <c r="A89" t="inlineStr">
        <is>
          <t>Closing cash month 36</t>
        </is>
      </c>
      <c r="B89" s="30" t="n">
        <v>3839984.81</v>
      </c>
    </row>
    <row r="90">
      <c r="A90" t="inlineStr">
        <is>
          <t>Equity raised in model</t>
        </is>
      </c>
      <c r="B90" s="30" t="n">
        <v>3500000</v>
      </c>
    </row>
    <row r="91">
      <c r="A91" t="inlineStr">
        <is>
          <t>Grants in model</t>
        </is>
      </c>
      <c r="B91" s="30" t="n">
        <v>400000</v>
      </c>
    </row>
    <row r="92">
      <c r="A92" t="inlineStr">
        <is>
          <t>Runway at month 36 (months)</t>
        </is>
      </c>
      <c r="B92" s="40" t="inlineStr">
        <is>
          <t>cash-generative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2026-09-08T07:07:40Z</dcterms:created>
  <dcterms:modified xmlns:dcterms="http://purl.org/dc/terms/" xmlns:xsi="http://www.w3.org/2001/XMLSchema-instance" xsi:type="dcterms:W3CDTF">2026-09-22T14:45:27Z</dcterms:modified>
</cp:coreProperties>
</file>