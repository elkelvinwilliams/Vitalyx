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 build" sheetId="4" state="visible" r:id="rId4"/>
    <sheet xmlns:r="http://schemas.openxmlformats.org/officeDocument/2006/relationships" name="Cost of sales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Funding requirement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tatic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##"/>
    <numFmt numFmtId="166" formatCode="0.0%"/>
    <numFmt numFmtId="167" formatCode="#,##0.00;[Red]-#,##0.00"/>
    <numFmt numFmtId="168" formatCode="0.0"/>
  </numFmts>
  <fonts count="1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i val="1"/>
      <color rgb="004B5568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5389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vertical="top" wrapText="1"/>
    </xf>
    <xf numFmtId="168" fontId="0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35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3" t="inlineStr">
        <is>
          <t>Financial Model (36 months)</t>
        </is>
      </c>
    </row>
    <row r="12">
      <c r="B12" s="34" t="inlineStr">
        <is>
          <t>Three scenarios (Conservative, Base, High-growth) driven from one assumptions sheet. Change the scenario selector on the Assumptions sheet. Nothing here is an actual; all figures are scenario outputs.</t>
        </is>
      </c>
    </row>
    <row r="13"/>
    <row r="14"/>
    <row r="16">
      <c r="B16" s="35" t="inlineStr">
        <is>
          <t>Prepared for</t>
        </is>
      </c>
      <c r="C16" t="inlineStr">
        <is>
          <t>The Founder, Vytalix</t>
        </is>
      </c>
    </row>
    <row r="17">
      <c r="B17" s="35" t="inlineStr">
        <is>
          <t>Date</t>
        </is>
      </c>
      <c r="C17" t="inlineStr">
        <is>
          <t>8 September 2026</t>
        </is>
      </c>
    </row>
    <row r="18">
      <c r="B18" s="35" t="inlineStr">
        <is>
          <t>Version</t>
        </is>
      </c>
      <c r="C18" t="inlineStr">
        <is>
          <t>1.0 · Confidential draft</t>
        </is>
      </c>
    </row>
    <row r="20">
      <c r="B20" s="36" t="inlineStr">
        <is>
          <t>Contents</t>
        </is>
      </c>
    </row>
    <row r="21">
      <c r="B21" s="7" t="inlineStr">
        <is>
          <t>README</t>
        </is>
      </c>
      <c r="C21" t="inlineStr"/>
    </row>
    <row r="22">
      <c r="B22" s="7" t="inlineStr">
        <is>
          <t>Assumptions</t>
        </is>
      </c>
      <c r="C22" t="inlineStr"/>
    </row>
    <row r="23">
      <c r="B23" s="7" t="inlineStr">
        <is>
          <t>Revenue build</t>
        </is>
      </c>
      <c r="C23" t="inlineStr"/>
    </row>
    <row r="24">
      <c r="B24" s="7" t="inlineStr">
        <is>
          <t>Cost of sales</t>
        </is>
      </c>
      <c r="C24" t="inlineStr"/>
    </row>
    <row r="25">
      <c r="B25" s="7" t="inlineStr">
        <is>
          <t>Opex</t>
        </is>
      </c>
      <c r="C25" t="inlineStr"/>
    </row>
    <row r="26">
      <c r="B26" s="7" t="inlineStr">
        <is>
          <t>Headcount</t>
        </is>
      </c>
      <c r="C26" t="inlineStr"/>
    </row>
    <row r="27">
      <c r="B27" s="7" t="inlineStr">
        <is>
          <t>P&amp;L</t>
        </is>
      </c>
      <c r="C27" t="inlineStr"/>
    </row>
    <row r="28">
      <c r="B28" s="7" t="inlineStr">
        <is>
          <t>Cash flow</t>
        </is>
      </c>
      <c r="C28" t="inlineStr"/>
    </row>
    <row r="29">
      <c r="B29" s="7" t="inlineStr">
        <is>
          <t>Funding requirement</t>
        </is>
      </c>
      <c r="C29" t="inlineStr"/>
    </row>
    <row r="30">
      <c r="B30" s="7" t="inlineStr">
        <is>
          <t>Dashboard</t>
        </is>
      </c>
      <c r="C30" t="inlineStr"/>
    </row>
    <row r="31">
      <c r="B31" s="7" t="inlineStr">
        <is>
          <t>Sensitivity</t>
        </is>
      </c>
      <c r="C31" t="inlineStr"/>
    </row>
    <row r="32">
      <c r="B32" s="7" t="inlineStr">
        <is>
          <t>Static summary</t>
        </is>
      </c>
      <c r="C32" t="inlineStr"/>
    </row>
    <row r="35">
      <c r="B35" s="37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8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38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39">
        <f>Assumptions!$F$11</f>
        <v/>
      </c>
      <c r="D9" s="39">
        <f>Assumptions!$F$11</f>
        <v/>
      </c>
      <c r="E9" s="39">
        <f>Assumptions!$F$11</f>
        <v/>
      </c>
      <c r="F9" s="39">
        <f>Assumptions!$F$11</f>
        <v/>
      </c>
      <c r="G9" s="39">
        <f>Assumptions!$F$11</f>
        <v/>
      </c>
      <c r="H9" s="39">
        <f>Assumptions!$F$11</f>
        <v/>
      </c>
      <c r="I9" s="39">
        <f>Assumptions!$F$11</f>
        <v/>
      </c>
      <c r="J9" s="39">
        <f>Assumptions!$F$11</f>
        <v/>
      </c>
      <c r="K9" s="39">
        <f>Assumptions!$F$11</f>
        <v/>
      </c>
      <c r="L9" s="39">
        <f>Assumptions!$F$11</f>
        <v/>
      </c>
      <c r="M9" s="39">
        <f>Assumptions!$F$11</f>
        <v/>
      </c>
      <c r="N9" s="39">
        <f>Assumptions!$F$11</f>
        <v/>
      </c>
      <c r="O9" s="39">
        <f>Assumptions!$F$11</f>
        <v/>
      </c>
      <c r="P9" s="39">
        <f>Assumptions!$F$11</f>
        <v/>
      </c>
      <c r="Q9" s="39">
        <f>Assumptions!$F$11</f>
        <v/>
      </c>
      <c r="R9" s="39">
        <f>Assumptions!$F$11</f>
        <v/>
      </c>
      <c r="S9" s="39">
        <f>Assumptions!$F$11</f>
        <v/>
      </c>
      <c r="T9" s="39">
        <f>Assumptions!$F$11</f>
        <v/>
      </c>
      <c r="U9" s="39">
        <f>Assumptions!$F$11</f>
        <v/>
      </c>
      <c r="V9" s="39">
        <f>Assumptions!$F$11</f>
        <v/>
      </c>
      <c r="W9" s="39">
        <f>Assumptions!$F$11</f>
        <v/>
      </c>
      <c r="X9" s="39">
        <f>Assumptions!$F$11</f>
        <v/>
      </c>
      <c r="Y9" s="39">
        <f>Assumptions!$F$11</f>
        <v/>
      </c>
      <c r="Z9" s="39">
        <f>Assumptions!$F$11</f>
        <v/>
      </c>
      <c r="AA9" s="39">
        <f>Assumptions!$F$11</f>
        <v/>
      </c>
      <c r="AB9" s="39">
        <f>Assumptions!$F$11</f>
        <v/>
      </c>
      <c r="AC9" s="39">
        <f>Assumptions!$F$11</f>
        <v/>
      </c>
      <c r="AD9" s="39">
        <f>Assumptions!$F$11</f>
        <v/>
      </c>
      <c r="AE9" s="39">
        <f>Assumptions!$F$11</f>
        <v/>
      </c>
      <c r="AF9" s="39">
        <f>Assumptions!$F$11</f>
        <v/>
      </c>
      <c r="AG9" s="39">
        <f>Assumptions!$F$11</f>
        <v/>
      </c>
      <c r="AH9" s="39">
        <f>Assumptions!$F$11</f>
        <v/>
      </c>
      <c r="AI9" s="39">
        <f>Assumptions!$F$11</f>
        <v/>
      </c>
      <c r="AJ9" s="39">
        <f>Assumptions!$F$11</f>
        <v/>
      </c>
      <c r="AK9" s="39">
        <f>Assumptions!$F$11</f>
        <v/>
      </c>
      <c r="AL9" s="39">
        <f>Assumptions!$F$11</f>
        <v/>
      </c>
      <c r="AN9" s="39">
        <f>SUMIF($C$5:$AL$5,AN$5,C9:AL9)</f>
        <v/>
      </c>
      <c r="AO9" s="39">
        <f>SUMIF($C$5:$AL$5,AO$5,C9:AL9)</f>
        <v/>
      </c>
      <c r="AP9" s="39">
        <f>SUMIF($C$5:$AL$5,AP$5,C9:AL9)</f>
        <v/>
      </c>
      <c r="AQ9" s="39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39">
        <f>'Revenue build'!C9*'Revenue build'!C10*'Revenue build'!C7</f>
        <v/>
      </c>
      <c r="D11" s="39">
        <f>'Revenue build'!D9*'Revenue build'!D10*'Revenue build'!D7</f>
        <v/>
      </c>
      <c r="E11" s="39">
        <f>'Revenue build'!E9*'Revenue build'!E10*'Revenue build'!E7</f>
        <v/>
      </c>
      <c r="F11" s="39">
        <f>'Revenue build'!F9*'Revenue build'!F10*'Revenue build'!F7</f>
        <v/>
      </c>
      <c r="G11" s="39">
        <f>'Revenue build'!G9*'Revenue build'!G10*'Revenue build'!G7</f>
        <v/>
      </c>
      <c r="H11" s="39">
        <f>'Revenue build'!H9*'Revenue build'!H10*'Revenue build'!H7</f>
        <v/>
      </c>
      <c r="I11" s="39">
        <f>'Revenue build'!I9*'Revenue build'!I10*'Revenue build'!I7</f>
        <v/>
      </c>
      <c r="J11" s="39">
        <f>'Revenue build'!J9*'Revenue build'!J10*'Revenue build'!J7</f>
        <v/>
      </c>
      <c r="K11" s="39">
        <f>'Revenue build'!K9*'Revenue build'!K10*'Revenue build'!K7</f>
        <v/>
      </c>
      <c r="L11" s="39">
        <f>'Revenue build'!L9*'Revenue build'!L10*'Revenue build'!L7</f>
        <v/>
      </c>
      <c r="M11" s="39">
        <f>'Revenue build'!M9*'Revenue build'!M10*'Revenue build'!M7</f>
        <v/>
      </c>
      <c r="N11" s="39">
        <f>'Revenue build'!N9*'Revenue build'!N10*'Revenue build'!N7</f>
        <v/>
      </c>
      <c r="O11" s="39">
        <f>'Revenue build'!O9*'Revenue build'!O10*'Revenue build'!O7</f>
        <v/>
      </c>
      <c r="P11" s="39">
        <f>'Revenue build'!P9*'Revenue build'!P10*'Revenue build'!P7</f>
        <v/>
      </c>
      <c r="Q11" s="39">
        <f>'Revenue build'!Q9*'Revenue build'!Q10*'Revenue build'!Q7</f>
        <v/>
      </c>
      <c r="R11" s="39">
        <f>'Revenue build'!R9*'Revenue build'!R10*'Revenue build'!R7</f>
        <v/>
      </c>
      <c r="S11" s="39">
        <f>'Revenue build'!S9*'Revenue build'!S10*'Revenue build'!S7</f>
        <v/>
      </c>
      <c r="T11" s="39">
        <f>'Revenue build'!T9*'Revenue build'!T10*'Revenue build'!T7</f>
        <v/>
      </c>
      <c r="U11" s="39">
        <f>'Revenue build'!U9*'Revenue build'!U10*'Revenue build'!U7</f>
        <v/>
      </c>
      <c r="V11" s="39">
        <f>'Revenue build'!V9*'Revenue build'!V10*'Revenue build'!V7</f>
        <v/>
      </c>
      <c r="W11" s="39">
        <f>'Revenue build'!W9*'Revenue build'!W10*'Revenue build'!W7</f>
        <v/>
      </c>
      <c r="X11" s="39">
        <f>'Revenue build'!X9*'Revenue build'!X10*'Revenue build'!X7</f>
        <v/>
      </c>
      <c r="Y11" s="39">
        <f>'Revenue build'!Y9*'Revenue build'!Y10*'Revenue build'!Y7</f>
        <v/>
      </c>
      <c r="Z11" s="39">
        <f>'Revenue build'!Z9*'Revenue build'!Z10*'Revenue build'!Z7</f>
        <v/>
      </c>
      <c r="AA11" s="39">
        <f>'Revenue build'!AA9*'Revenue build'!AA10*'Revenue build'!AA7</f>
        <v/>
      </c>
      <c r="AB11" s="39">
        <f>'Revenue build'!AB9*'Revenue build'!AB10*'Revenue build'!AB7</f>
        <v/>
      </c>
      <c r="AC11" s="39">
        <f>'Revenue build'!AC9*'Revenue build'!AC10*'Revenue build'!AC7</f>
        <v/>
      </c>
      <c r="AD11" s="39">
        <f>'Revenue build'!AD9*'Revenue build'!AD10*'Revenue build'!AD7</f>
        <v/>
      </c>
      <c r="AE11" s="39">
        <f>'Revenue build'!AE9*'Revenue build'!AE10*'Revenue build'!AE7</f>
        <v/>
      </c>
      <c r="AF11" s="39">
        <f>'Revenue build'!AF9*'Revenue build'!AF10*'Revenue build'!AF7</f>
        <v/>
      </c>
      <c r="AG11" s="39">
        <f>'Revenue build'!AG9*'Revenue build'!AG10*'Revenue build'!AG7</f>
        <v/>
      </c>
      <c r="AH11" s="39">
        <f>'Revenue build'!AH9*'Revenue build'!AH10*'Revenue build'!AH7</f>
        <v/>
      </c>
      <c r="AI11" s="39">
        <f>'Revenue build'!AI9*'Revenue build'!AI10*'Revenue build'!AI7</f>
        <v/>
      </c>
      <c r="AJ11" s="39">
        <f>'Revenue build'!AJ9*'Revenue build'!AJ10*'Revenue build'!AJ7</f>
        <v/>
      </c>
      <c r="AK11" s="39">
        <f>'Revenue build'!AK9*'Revenue build'!AK10*'Revenue build'!AK7</f>
        <v/>
      </c>
      <c r="AL11" s="39">
        <f>'Revenue build'!AL9*'Revenue build'!AL10*'Revenue build'!AL7</f>
        <v/>
      </c>
      <c r="AN11" s="39">
        <f>SUMIF($C$5:$AL$5,AN$5,C11:AL11)</f>
        <v/>
      </c>
      <c r="AO11" s="39">
        <f>SUMIF($C$5:$AL$5,AO$5,C11:AL11)</f>
        <v/>
      </c>
      <c r="AP11" s="39">
        <f>SUMIF($C$5:$AL$5,AP$5,C11:AL11)</f>
        <v/>
      </c>
      <c r="AQ11" s="39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39">
        <f>IF(C3&gt;=Assumptions!$F$16,CHOOSE(C6,Assumptions!$F$17,Assumptions!$F$18,Assumptions!$F$19),0)</f>
        <v/>
      </c>
      <c r="D12" s="39">
        <f>IF(D3&gt;=Assumptions!$F$16,CHOOSE(D6,Assumptions!$F$17,Assumptions!$F$18,Assumptions!$F$19),0)</f>
        <v/>
      </c>
      <c r="E12" s="39">
        <f>IF(E3&gt;=Assumptions!$F$16,CHOOSE(E6,Assumptions!$F$17,Assumptions!$F$18,Assumptions!$F$19),0)</f>
        <v/>
      </c>
      <c r="F12" s="39">
        <f>IF(F3&gt;=Assumptions!$F$16,CHOOSE(F6,Assumptions!$F$17,Assumptions!$F$18,Assumptions!$F$19),0)</f>
        <v/>
      </c>
      <c r="G12" s="39">
        <f>IF(G3&gt;=Assumptions!$F$16,CHOOSE(G6,Assumptions!$F$17,Assumptions!$F$18,Assumptions!$F$19),0)</f>
        <v/>
      </c>
      <c r="H12" s="39">
        <f>IF(H3&gt;=Assumptions!$F$16,CHOOSE(H6,Assumptions!$F$17,Assumptions!$F$18,Assumptions!$F$19),0)</f>
        <v/>
      </c>
      <c r="I12" s="39">
        <f>IF(I3&gt;=Assumptions!$F$16,CHOOSE(I6,Assumptions!$F$17,Assumptions!$F$18,Assumptions!$F$19),0)</f>
        <v/>
      </c>
      <c r="J12" s="39">
        <f>IF(J3&gt;=Assumptions!$F$16,CHOOSE(J6,Assumptions!$F$17,Assumptions!$F$18,Assumptions!$F$19),0)</f>
        <v/>
      </c>
      <c r="K12" s="39">
        <f>IF(K3&gt;=Assumptions!$F$16,CHOOSE(K6,Assumptions!$F$17,Assumptions!$F$18,Assumptions!$F$19),0)</f>
        <v/>
      </c>
      <c r="L12" s="39">
        <f>IF(L3&gt;=Assumptions!$F$16,CHOOSE(L6,Assumptions!$F$17,Assumptions!$F$18,Assumptions!$F$19),0)</f>
        <v/>
      </c>
      <c r="M12" s="39">
        <f>IF(M3&gt;=Assumptions!$F$16,CHOOSE(M6,Assumptions!$F$17,Assumptions!$F$18,Assumptions!$F$19),0)</f>
        <v/>
      </c>
      <c r="N12" s="39">
        <f>IF(N3&gt;=Assumptions!$F$16,CHOOSE(N6,Assumptions!$F$17,Assumptions!$F$18,Assumptions!$F$19),0)</f>
        <v/>
      </c>
      <c r="O12" s="39">
        <f>IF(O3&gt;=Assumptions!$F$16,CHOOSE(O6,Assumptions!$F$17,Assumptions!$F$18,Assumptions!$F$19),0)</f>
        <v/>
      </c>
      <c r="P12" s="39">
        <f>IF(P3&gt;=Assumptions!$F$16,CHOOSE(P6,Assumptions!$F$17,Assumptions!$F$18,Assumptions!$F$19),0)</f>
        <v/>
      </c>
      <c r="Q12" s="39">
        <f>IF(Q3&gt;=Assumptions!$F$16,CHOOSE(Q6,Assumptions!$F$17,Assumptions!$F$18,Assumptions!$F$19),0)</f>
        <v/>
      </c>
      <c r="R12" s="39">
        <f>IF(R3&gt;=Assumptions!$F$16,CHOOSE(R6,Assumptions!$F$17,Assumptions!$F$18,Assumptions!$F$19),0)</f>
        <v/>
      </c>
      <c r="S12" s="39">
        <f>IF(S3&gt;=Assumptions!$F$16,CHOOSE(S6,Assumptions!$F$17,Assumptions!$F$18,Assumptions!$F$19),0)</f>
        <v/>
      </c>
      <c r="T12" s="39">
        <f>IF(T3&gt;=Assumptions!$F$16,CHOOSE(T6,Assumptions!$F$17,Assumptions!$F$18,Assumptions!$F$19),0)</f>
        <v/>
      </c>
      <c r="U12" s="39">
        <f>IF(U3&gt;=Assumptions!$F$16,CHOOSE(U6,Assumptions!$F$17,Assumptions!$F$18,Assumptions!$F$19),0)</f>
        <v/>
      </c>
      <c r="V12" s="39">
        <f>IF(V3&gt;=Assumptions!$F$16,CHOOSE(V6,Assumptions!$F$17,Assumptions!$F$18,Assumptions!$F$19),0)</f>
        <v/>
      </c>
      <c r="W12" s="39">
        <f>IF(W3&gt;=Assumptions!$F$16,CHOOSE(W6,Assumptions!$F$17,Assumptions!$F$18,Assumptions!$F$19),0)</f>
        <v/>
      </c>
      <c r="X12" s="39">
        <f>IF(X3&gt;=Assumptions!$F$16,CHOOSE(X6,Assumptions!$F$17,Assumptions!$F$18,Assumptions!$F$19),0)</f>
        <v/>
      </c>
      <c r="Y12" s="39">
        <f>IF(Y3&gt;=Assumptions!$F$16,CHOOSE(Y6,Assumptions!$F$17,Assumptions!$F$18,Assumptions!$F$19),0)</f>
        <v/>
      </c>
      <c r="Z12" s="39">
        <f>IF(Z3&gt;=Assumptions!$F$16,CHOOSE(Z6,Assumptions!$F$17,Assumptions!$F$18,Assumptions!$F$19),0)</f>
        <v/>
      </c>
      <c r="AA12" s="39">
        <f>IF(AA3&gt;=Assumptions!$F$16,CHOOSE(AA6,Assumptions!$F$17,Assumptions!$F$18,Assumptions!$F$19),0)</f>
        <v/>
      </c>
      <c r="AB12" s="39">
        <f>IF(AB3&gt;=Assumptions!$F$16,CHOOSE(AB6,Assumptions!$F$17,Assumptions!$F$18,Assumptions!$F$19),0)</f>
        <v/>
      </c>
      <c r="AC12" s="39">
        <f>IF(AC3&gt;=Assumptions!$F$16,CHOOSE(AC6,Assumptions!$F$17,Assumptions!$F$18,Assumptions!$F$19),0)</f>
        <v/>
      </c>
      <c r="AD12" s="39">
        <f>IF(AD3&gt;=Assumptions!$F$16,CHOOSE(AD6,Assumptions!$F$17,Assumptions!$F$18,Assumptions!$F$19),0)</f>
        <v/>
      </c>
      <c r="AE12" s="39">
        <f>IF(AE3&gt;=Assumptions!$F$16,CHOOSE(AE6,Assumptions!$F$17,Assumptions!$F$18,Assumptions!$F$19),0)</f>
        <v/>
      </c>
      <c r="AF12" s="39">
        <f>IF(AF3&gt;=Assumptions!$F$16,CHOOSE(AF6,Assumptions!$F$17,Assumptions!$F$18,Assumptions!$F$19),0)</f>
        <v/>
      </c>
      <c r="AG12" s="39">
        <f>IF(AG3&gt;=Assumptions!$F$16,CHOOSE(AG6,Assumptions!$F$17,Assumptions!$F$18,Assumptions!$F$19),0)</f>
        <v/>
      </c>
      <c r="AH12" s="39">
        <f>IF(AH3&gt;=Assumptions!$F$16,CHOOSE(AH6,Assumptions!$F$17,Assumptions!$F$18,Assumptions!$F$19),0)</f>
        <v/>
      </c>
      <c r="AI12" s="39">
        <f>IF(AI3&gt;=Assumptions!$F$16,CHOOSE(AI6,Assumptions!$F$17,Assumptions!$F$18,Assumptions!$F$19),0)</f>
        <v/>
      </c>
      <c r="AJ12" s="39">
        <f>IF(AJ3&gt;=Assumptions!$F$16,CHOOSE(AJ6,Assumptions!$F$17,Assumptions!$F$18,Assumptions!$F$19),0)</f>
        <v/>
      </c>
      <c r="AK12" s="39">
        <f>IF(AK3&gt;=Assumptions!$F$16,CHOOSE(AK6,Assumptions!$F$17,Assumptions!$F$18,Assumptions!$F$19),0)</f>
        <v/>
      </c>
      <c r="AL12" s="39">
        <f>IF(AL3&gt;=Assumptions!$F$16,CHOOSE(AL6,Assumptions!$F$17,Assumptions!$F$18,Assumptions!$F$19),0)</f>
        <v/>
      </c>
      <c r="AN12" s="39">
        <f>AVERAGEIF($C$5:$AL$5,AN$5,C12:AL12)</f>
        <v/>
      </c>
      <c r="AO12" s="39">
        <f>AVERAGEIF($C$5:$AL$5,AO$5,C12:AL12)</f>
        <v/>
      </c>
      <c r="AP12" s="39">
        <f>AVERAGEIF($C$5:$AL$5,AP$5,C12:AL12)</f>
        <v/>
      </c>
      <c r="AQ12" s="39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39">
        <f>'Revenue build'!C12*Assumptions!$F$21</f>
        <v/>
      </c>
      <c r="D13" s="39">
        <f>'Revenue build'!D12*Assumptions!$F$21</f>
        <v/>
      </c>
      <c r="E13" s="39">
        <f>'Revenue build'!E12*Assumptions!$F$21</f>
        <v/>
      </c>
      <c r="F13" s="39">
        <f>'Revenue build'!F12*Assumptions!$F$21</f>
        <v/>
      </c>
      <c r="G13" s="39">
        <f>'Revenue build'!G12*Assumptions!$F$21</f>
        <v/>
      </c>
      <c r="H13" s="39">
        <f>'Revenue build'!H12*Assumptions!$F$21</f>
        <v/>
      </c>
      <c r="I13" s="39">
        <f>'Revenue build'!I12*Assumptions!$F$21</f>
        <v/>
      </c>
      <c r="J13" s="39">
        <f>'Revenue build'!J12*Assumptions!$F$21</f>
        <v/>
      </c>
      <c r="K13" s="39">
        <f>'Revenue build'!K12*Assumptions!$F$21</f>
        <v/>
      </c>
      <c r="L13" s="39">
        <f>'Revenue build'!L12*Assumptions!$F$21</f>
        <v/>
      </c>
      <c r="M13" s="39">
        <f>'Revenue build'!M12*Assumptions!$F$21</f>
        <v/>
      </c>
      <c r="N13" s="39">
        <f>'Revenue build'!N12*Assumptions!$F$21</f>
        <v/>
      </c>
      <c r="O13" s="39">
        <f>'Revenue build'!O12*Assumptions!$F$21</f>
        <v/>
      </c>
      <c r="P13" s="39">
        <f>'Revenue build'!P12*Assumptions!$F$21</f>
        <v/>
      </c>
      <c r="Q13" s="39">
        <f>'Revenue build'!Q12*Assumptions!$F$21</f>
        <v/>
      </c>
      <c r="R13" s="39">
        <f>'Revenue build'!R12*Assumptions!$F$21</f>
        <v/>
      </c>
      <c r="S13" s="39">
        <f>'Revenue build'!S12*Assumptions!$F$21</f>
        <v/>
      </c>
      <c r="T13" s="39">
        <f>'Revenue build'!T12*Assumptions!$F$21</f>
        <v/>
      </c>
      <c r="U13" s="39">
        <f>'Revenue build'!U12*Assumptions!$F$21</f>
        <v/>
      </c>
      <c r="V13" s="39">
        <f>'Revenue build'!V12*Assumptions!$F$21</f>
        <v/>
      </c>
      <c r="W13" s="39">
        <f>'Revenue build'!W12*Assumptions!$F$21</f>
        <v/>
      </c>
      <c r="X13" s="39">
        <f>'Revenue build'!X12*Assumptions!$F$21</f>
        <v/>
      </c>
      <c r="Y13" s="39">
        <f>'Revenue build'!Y12*Assumptions!$F$21</f>
        <v/>
      </c>
      <c r="Z13" s="39">
        <f>'Revenue build'!Z12*Assumptions!$F$21</f>
        <v/>
      </c>
      <c r="AA13" s="39">
        <f>'Revenue build'!AA12*Assumptions!$F$21</f>
        <v/>
      </c>
      <c r="AB13" s="39">
        <f>'Revenue build'!AB12*Assumptions!$F$21</f>
        <v/>
      </c>
      <c r="AC13" s="39">
        <f>'Revenue build'!AC12*Assumptions!$F$21</f>
        <v/>
      </c>
      <c r="AD13" s="39">
        <f>'Revenue build'!AD12*Assumptions!$F$21</f>
        <v/>
      </c>
      <c r="AE13" s="39">
        <f>'Revenue build'!AE12*Assumptions!$F$21</f>
        <v/>
      </c>
      <c r="AF13" s="39">
        <f>'Revenue build'!AF12*Assumptions!$F$21</f>
        <v/>
      </c>
      <c r="AG13" s="39">
        <f>'Revenue build'!AG12*Assumptions!$F$21</f>
        <v/>
      </c>
      <c r="AH13" s="39">
        <f>'Revenue build'!AH12*Assumptions!$F$21</f>
        <v/>
      </c>
      <c r="AI13" s="39">
        <f>'Revenue build'!AI12*Assumptions!$F$21</f>
        <v/>
      </c>
      <c r="AJ13" s="39">
        <f>'Revenue build'!AJ12*Assumptions!$F$21</f>
        <v/>
      </c>
      <c r="AK13" s="39">
        <f>'Revenue build'!AK12*Assumptions!$F$21</f>
        <v/>
      </c>
      <c r="AL13" s="39">
        <f>'Revenue build'!AL12*Assumptions!$F$21</f>
        <v/>
      </c>
      <c r="AN13" s="39">
        <f>SUMIF($C$5:$AL$5,AN$5,C13:AL13)</f>
        <v/>
      </c>
      <c r="AO13" s="39">
        <f>SUMIF($C$5:$AL$5,AO$5,C13:AL13)</f>
        <v/>
      </c>
      <c r="AP13" s="39">
        <f>SUMIF($C$5:$AL$5,AP$5,C13:AL13)</f>
        <v/>
      </c>
      <c r="AQ13" s="39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39">
        <f>'Revenue build'!C14*Assumptions!$F$30</f>
        <v/>
      </c>
      <c r="D15" s="39">
        <f>'Revenue build'!D14*Assumptions!$F$30</f>
        <v/>
      </c>
      <c r="E15" s="39">
        <f>'Revenue build'!E14*Assumptions!$F$30</f>
        <v/>
      </c>
      <c r="F15" s="39">
        <f>'Revenue build'!F14*Assumptions!$F$30</f>
        <v/>
      </c>
      <c r="G15" s="39">
        <f>'Revenue build'!G14*Assumptions!$F$30</f>
        <v/>
      </c>
      <c r="H15" s="39">
        <f>'Revenue build'!H14*Assumptions!$F$30</f>
        <v/>
      </c>
      <c r="I15" s="39">
        <f>'Revenue build'!I14*Assumptions!$F$30</f>
        <v/>
      </c>
      <c r="J15" s="39">
        <f>'Revenue build'!J14*Assumptions!$F$30</f>
        <v/>
      </c>
      <c r="K15" s="39">
        <f>'Revenue build'!K14*Assumptions!$F$30</f>
        <v/>
      </c>
      <c r="L15" s="39">
        <f>'Revenue build'!L14*Assumptions!$F$30</f>
        <v/>
      </c>
      <c r="M15" s="39">
        <f>'Revenue build'!M14*Assumptions!$F$30</f>
        <v/>
      </c>
      <c r="N15" s="39">
        <f>'Revenue build'!N14*Assumptions!$F$30</f>
        <v/>
      </c>
      <c r="O15" s="39">
        <f>'Revenue build'!O14*Assumptions!$F$30</f>
        <v/>
      </c>
      <c r="P15" s="39">
        <f>'Revenue build'!P14*Assumptions!$F$30</f>
        <v/>
      </c>
      <c r="Q15" s="39">
        <f>'Revenue build'!Q14*Assumptions!$F$30</f>
        <v/>
      </c>
      <c r="R15" s="39">
        <f>'Revenue build'!R14*Assumptions!$F$30</f>
        <v/>
      </c>
      <c r="S15" s="39">
        <f>'Revenue build'!S14*Assumptions!$F$30</f>
        <v/>
      </c>
      <c r="T15" s="39">
        <f>'Revenue build'!T14*Assumptions!$F$30</f>
        <v/>
      </c>
      <c r="U15" s="39">
        <f>'Revenue build'!U14*Assumptions!$F$30</f>
        <v/>
      </c>
      <c r="V15" s="39">
        <f>'Revenue build'!V14*Assumptions!$F$30</f>
        <v/>
      </c>
      <c r="W15" s="39">
        <f>'Revenue build'!W14*Assumptions!$F$30</f>
        <v/>
      </c>
      <c r="X15" s="39">
        <f>'Revenue build'!X14*Assumptions!$F$30</f>
        <v/>
      </c>
      <c r="Y15" s="39">
        <f>'Revenue build'!Y14*Assumptions!$F$30</f>
        <v/>
      </c>
      <c r="Z15" s="39">
        <f>'Revenue build'!Z14*Assumptions!$F$30</f>
        <v/>
      </c>
      <c r="AA15" s="39">
        <f>'Revenue build'!AA14*Assumptions!$F$30</f>
        <v/>
      </c>
      <c r="AB15" s="39">
        <f>'Revenue build'!AB14*Assumptions!$F$30</f>
        <v/>
      </c>
      <c r="AC15" s="39">
        <f>'Revenue build'!AC14*Assumptions!$F$30</f>
        <v/>
      </c>
      <c r="AD15" s="39">
        <f>'Revenue build'!AD14*Assumptions!$F$30</f>
        <v/>
      </c>
      <c r="AE15" s="39">
        <f>'Revenue build'!AE14*Assumptions!$F$30</f>
        <v/>
      </c>
      <c r="AF15" s="39">
        <f>'Revenue build'!AF14*Assumptions!$F$30</f>
        <v/>
      </c>
      <c r="AG15" s="39">
        <f>'Revenue build'!AG14*Assumptions!$F$30</f>
        <v/>
      </c>
      <c r="AH15" s="39">
        <f>'Revenue build'!AH14*Assumptions!$F$30</f>
        <v/>
      </c>
      <c r="AI15" s="39">
        <f>'Revenue build'!AI14*Assumptions!$F$30</f>
        <v/>
      </c>
      <c r="AJ15" s="39">
        <f>'Revenue build'!AJ14*Assumptions!$F$30</f>
        <v/>
      </c>
      <c r="AK15" s="39">
        <f>'Revenue build'!AK14*Assumptions!$F$30</f>
        <v/>
      </c>
      <c r="AL15" s="39">
        <f>'Revenue build'!AL14*Assumptions!$F$30</f>
        <v/>
      </c>
      <c r="AN15" s="39">
        <f>SUMIF($C$5:$AL$5,AN$5,C15:AL15)</f>
        <v/>
      </c>
      <c r="AO15" s="39">
        <f>SUMIF($C$5:$AL$5,AO$5,C15:AL15)</f>
        <v/>
      </c>
      <c r="AP15" s="39">
        <f>SUMIF($C$5:$AL$5,AP$5,C15:AL15)</f>
        <v/>
      </c>
      <c r="AQ15" s="39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39">
        <f>MAX(0,'Revenue build'!C11-'Revenue build'!C13-'Revenue build'!C15)</f>
        <v/>
      </c>
      <c r="D16" s="39">
        <f>MAX(0,'Revenue build'!D11-'Revenue build'!D13-'Revenue build'!D15)</f>
        <v/>
      </c>
      <c r="E16" s="39">
        <f>MAX(0,'Revenue build'!E11-'Revenue build'!E13-'Revenue build'!E15)</f>
        <v/>
      </c>
      <c r="F16" s="39">
        <f>MAX(0,'Revenue build'!F11-'Revenue build'!F13-'Revenue build'!F15)</f>
        <v/>
      </c>
      <c r="G16" s="39">
        <f>MAX(0,'Revenue build'!G11-'Revenue build'!G13-'Revenue build'!G15)</f>
        <v/>
      </c>
      <c r="H16" s="39">
        <f>MAX(0,'Revenue build'!H11-'Revenue build'!H13-'Revenue build'!H15)</f>
        <v/>
      </c>
      <c r="I16" s="39">
        <f>MAX(0,'Revenue build'!I11-'Revenue build'!I13-'Revenue build'!I15)</f>
        <v/>
      </c>
      <c r="J16" s="39">
        <f>MAX(0,'Revenue build'!J11-'Revenue build'!J13-'Revenue build'!J15)</f>
        <v/>
      </c>
      <c r="K16" s="39">
        <f>MAX(0,'Revenue build'!K11-'Revenue build'!K13-'Revenue build'!K15)</f>
        <v/>
      </c>
      <c r="L16" s="39">
        <f>MAX(0,'Revenue build'!L11-'Revenue build'!L13-'Revenue build'!L15)</f>
        <v/>
      </c>
      <c r="M16" s="39">
        <f>MAX(0,'Revenue build'!M11-'Revenue build'!M13-'Revenue build'!M15)</f>
        <v/>
      </c>
      <c r="N16" s="39">
        <f>MAX(0,'Revenue build'!N11-'Revenue build'!N13-'Revenue build'!N15)</f>
        <v/>
      </c>
      <c r="O16" s="39">
        <f>MAX(0,'Revenue build'!O11-'Revenue build'!O13-'Revenue build'!O15)</f>
        <v/>
      </c>
      <c r="P16" s="39">
        <f>MAX(0,'Revenue build'!P11-'Revenue build'!P13-'Revenue build'!P15)</f>
        <v/>
      </c>
      <c r="Q16" s="39">
        <f>MAX(0,'Revenue build'!Q11-'Revenue build'!Q13-'Revenue build'!Q15)</f>
        <v/>
      </c>
      <c r="R16" s="39">
        <f>MAX(0,'Revenue build'!R11-'Revenue build'!R13-'Revenue build'!R15)</f>
        <v/>
      </c>
      <c r="S16" s="39">
        <f>MAX(0,'Revenue build'!S11-'Revenue build'!S13-'Revenue build'!S15)</f>
        <v/>
      </c>
      <c r="T16" s="39">
        <f>MAX(0,'Revenue build'!T11-'Revenue build'!T13-'Revenue build'!T15)</f>
        <v/>
      </c>
      <c r="U16" s="39">
        <f>MAX(0,'Revenue build'!U11-'Revenue build'!U13-'Revenue build'!U15)</f>
        <v/>
      </c>
      <c r="V16" s="39">
        <f>MAX(0,'Revenue build'!V11-'Revenue build'!V13-'Revenue build'!V15)</f>
        <v/>
      </c>
      <c r="W16" s="39">
        <f>MAX(0,'Revenue build'!W11-'Revenue build'!W13-'Revenue build'!W15)</f>
        <v/>
      </c>
      <c r="X16" s="39">
        <f>MAX(0,'Revenue build'!X11-'Revenue build'!X13-'Revenue build'!X15)</f>
        <v/>
      </c>
      <c r="Y16" s="39">
        <f>MAX(0,'Revenue build'!Y11-'Revenue build'!Y13-'Revenue build'!Y15)</f>
        <v/>
      </c>
      <c r="Z16" s="39">
        <f>MAX(0,'Revenue build'!Z11-'Revenue build'!Z13-'Revenue build'!Z15)</f>
        <v/>
      </c>
      <c r="AA16" s="39">
        <f>MAX(0,'Revenue build'!AA11-'Revenue build'!AA13-'Revenue build'!AA15)</f>
        <v/>
      </c>
      <c r="AB16" s="39">
        <f>MAX(0,'Revenue build'!AB11-'Revenue build'!AB13-'Revenue build'!AB15)</f>
        <v/>
      </c>
      <c r="AC16" s="39">
        <f>MAX(0,'Revenue build'!AC11-'Revenue build'!AC13-'Revenue build'!AC15)</f>
        <v/>
      </c>
      <c r="AD16" s="39">
        <f>MAX(0,'Revenue build'!AD11-'Revenue build'!AD13-'Revenue build'!AD15)</f>
        <v/>
      </c>
      <c r="AE16" s="39">
        <f>MAX(0,'Revenue build'!AE11-'Revenue build'!AE13-'Revenue build'!AE15)</f>
        <v/>
      </c>
      <c r="AF16" s="39">
        <f>MAX(0,'Revenue build'!AF11-'Revenue build'!AF13-'Revenue build'!AF15)</f>
        <v/>
      </c>
      <c r="AG16" s="39">
        <f>MAX(0,'Revenue build'!AG11-'Revenue build'!AG13-'Revenue build'!AG15)</f>
        <v/>
      </c>
      <c r="AH16" s="39">
        <f>MAX(0,'Revenue build'!AH11-'Revenue build'!AH13-'Revenue build'!AH15)</f>
        <v/>
      </c>
      <c r="AI16" s="39">
        <f>MAX(0,'Revenue build'!AI11-'Revenue build'!AI13-'Revenue build'!AI15)</f>
        <v/>
      </c>
      <c r="AJ16" s="39">
        <f>MAX(0,'Revenue build'!AJ11-'Revenue build'!AJ13-'Revenue build'!AJ15)</f>
        <v/>
      </c>
      <c r="AK16" s="39">
        <f>MAX(0,'Revenue build'!AK11-'Revenue build'!AK13-'Revenue build'!AK15)</f>
        <v/>
      </c>
      <c r="AL16" s="39">
        <f>MAX(0,'Revenue build'!AL11-'Revenue build'!AL13-'Revenue build'!AL15)</f>
        <v/>
      </c>
      <c r="AN16" s="39">
        <f>SUMIF($C$5:$AL$5,AN$5,C16:AL16)</f>
        <v/>
      </c>
      <c r="AO16" s="39">
        <f>SUMIF($C$5:$AL$5,AO$5,C16:AL16)</f>
        <v/>
      </c>
      <c r="AP16" s="39">
        <f>SUMIF($C$5:$AL$5,AP$5,C16:AL16)</f>
        <v/>
      </c>
      <c r="AQ16" s="39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39">
        <f>'Headcount'!C17*Assumptions!$F$23</f>
        <v/>
      </c>
      <c r="D21" s="39">
        <f>'Headcount'!D17*Assumptions!$F$23</f>
        <v/>
      </c>
      <c r="E21" s="39">
        <f>'Headcount'!E17*Assumptions!$F$23</f>
        <v/>
      </c>
      <c r="F21" s="39">
        <f>'Headcount'!F17*Assumptions!$F$23</f>
        <v/>
      </c>
      <c r="G21" s="39">
        <f>'Headcount'!G17*Assumptions!$F$23</f>
        <v/>
      </c>
      <c r="H21" s="39">
        <f>'Headcount'!H17*Assumptions!$F$23</f>
        <v/>
      </c>
      <c r="I21" s="39">
        <f>'Headcount'!I17*Assumptions!$F$23</f>
        <v/>
      </c>
      <c r="J21" s="39">
        <f>'Headcount'!J17*Assumptions!$F$23</f>
        <v/>
      </c>
      <c r="K21" s="39">
        <f>'Headcount'!K17*Assumptions!$F$23</f>
        <v/>
      </c>
      <c r="L21" s="39">
        <f>'Headcount'!L17*Assumptions!$F$23</f>
        <v/>
      </c>
      <c r="M21" s="39">
        <f>'Headcount'!M17*Assumptions!$F$23</f>
        <v/>
      </c>
      <c r="N21" s="39">
        <f>'Headcount'!N17*Assumptions!$F$23</f>
        <v/>
      </c>
      <c r="O21" s="39">
        <f>'Headcount'!O17*Assumptions!$F$23</f>
        <v/>
      </c>
      <c r="P21" s="39">
        <f>'Headcount'!P17*Assumptions!$F$23</f>
        <v/>
      </c>
      <c r="Q21" s="39">
        <f>'Headcount'!Q17*Assumptions!$F$23</f>
        <v/>
      </c>
      <c r="R21" s="39">
        <f>'Headcount'!R17*Assumptions!$F$23</f>
        <v/>
      </c>
      <c r="S21" s="39">
        <f>'Headcount'!S17*Assumptions!$F$23</f>
        <v/>
      </c>
      <c r="T21" s="39">
        <f>'Headcount'!T17*Assumptions!$F$23</f>
        <v/>
      </c>
      <c r="U21" s="39">
        <f>'Headcount'!U17*Assumptions!$F$23</f>
        <v/>
      </c>
      <c r="V21" s="39">
        <f>'Headcount'!V17*Assumptions!$F$23</f>
        <v/>
      </c>
      <c r="W21" s="39">
        <f>'Headcount'!W17*Assumptions!$F$23</f>
        <v/>
      </c>
      <c r="X21" s="39">
        <f>'Headcount'!X17*Assumptions!$F$23</f>
        <v/>
      </c>
      <c r="Y21" s="39">
        <f>'Headcount'!Y17*Assumptions!$F$23</f>
        <v/>
      </c>
      <c r="Z21" s="39">
        <f>'Headcount'!Z17*Assumptions!$F$23</f>
        <v/>
      </c>
      <c r="AA21" s="39">
        <f>'Headcount'!AA17*Assumptions!$F$23</f>
        <v/>
      </c>
      <c r="AB21" s="39">
        <f>'Headcount'!AB17*Assumptions!$F$23</f>
        <v/>
      </c>
      <c r="AC21" s="39">
        <f>'Headcount'!AC17*Assumptions!$F$23</f>
        <v/>
      </c>
      <c r="AD21" s="39">
        <f>'Headcount'!AD17*Assumptions!$F$23</f>
        <v/>
      </c>
      <c r="AE21" s="39">
        <f>'Headcount'!AE17*Assumptions!$F$23</f>
        <v/>
      </c>
      <c r="AF21" s="39">
        <f>'Headcount'!AF17*Assumptions!$F$23</f>
        <v/>
      </c>
      <c r="AG21" s="39">
        <f>'Headcount'!AG17*Assumptions!$F$23</f>
        <v/>
      </c>
      <c r="AH21" s="39">
        <f>'Headcount'!AH17*Assumptions!$F$23</f>
        <v/>
      </c>
      <c r="AI21" s="39">
        <f>'Headcount'!AI17*Assumptions!$F$23</f>
        <v/>
      </c>
      <c r="AJ21" s="39">
        <f>'Headcount'!AJ17*Assumptions!$F$23</f>
        <v/>
      </c>
      <c r="AK21" s="39">
        <f>'Headcount'!AK17*Assumptions!$F$23</f>
        <v/>
      </c>
      <c r="AL21" s="39">
        <f>'Headcount'!AL17*Assumptions!$F$23</f>
        <v/>
      </c>
      <c r="AN21" s="39">
        <f>SUMIF($C$5:$AL$5,AN$5,C21:AL21)</f>
        <v/>
      </c>
      <c r="AO21" s="39">
        <f>SUMIF($C$5:$AL$5,AO$5,C21:AL21)</f>
        <v/>
      </c>
      <c r="AP21" s="39">
        <f>SUMIF($C$5:$AL$5,AP$5,C21:AL21)</f>
        <v/>
      </c>
      <c r="AQ21" s="39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39">
        <f>IF('Revenue build'!C30=1,Assumptions!$F$34*(1+Assumptions!$F$35)^(C3-Assumptions!$F$33),0)</f>
        <v/>
      </c>
      <c r="D31" s="39">
        <f>IF('Revenue build'!D30=1,Assumptions!$F$34*(1+Assumptions!$F$35)^(D3-Assumptions!$F$33),0)</f>
        <v/>
      </c>
      <c r="E31" s="39">
        <f>IF('Revenue build'!E30=1,Assumptions!$F$34*(1+Assumptions!$F$35)^(E3-Assumptions!$F$33),0)</f>
        <v/>
      </c>
      <c r="F31" s="39">
        <f>IF('Revenue build'!F30=1,Assumptions!$F$34*(1+Assumptions!$F$35)^(F3-Assumptions!$F$33),0)</f>
        <v/>
      </c>
      <c r="G31" s="39">
        <f>IF('Revenue build'!G30=1,Assumptions!$F$34*(1+Assumptions!$F$35)^(G3-Assumptions!$F$33),0)</f>
        <v/>
      </c>
      <c r="H31" s="39">
        <f>IF('Revenue build'!H30=1,Assumptions!$F$34*(1+Assumptions!$F$35)^(H3-Assumptions!$F$33),0)</f>
        <v/>
      </c>
      <c r="I31" s="39">
        <f>IF('Revenue build'!I30=1,Assumptions!$F$34*(1+Assumptions!$F$35)^(I3-Assumptions!$F$33),0)</f>
        <v/>
      </c>
      <c r="J31" s="39">
        <f>IF('Revenue build'!J30=1,Assumptions!$F$34*(1+Assumptions!$F$35)^(J3-Assumptions!$F$33),0)</f>
        <v/>
      </c>
      <c r="K31" s="39">
        <f>IF('Revenue build'!K30=1,Assumptions!$F$34*(1+Assumptions!$F$35)^(K3-Assumptions!$F$33),0)</f>
        <v/>
      </c>
      <c r="L31" s="39">
        <f>IF('Revenue build'!L30=1,Assumptions!$F$34*(1+Assumptions!$F$35)^(L3-Assumptions!$F$33),0)</f>
        <v/>
      </c>
      <c r="M31" s="39">
        <f>IF('Revenue build'!M30=1,Assumptions!$F$34*(1+Assumptions!$F$35)^(M3-Assumptions!$F$33),0)</f>
        <v/>
      </c>
      <c r="N31" s="39">
        <f>IF('Revenue build'!N30=1,Assumptions!$F$34*(1+Assumptions!$F$35)^(N3-Assumptions!$F$33),0)</f>
        <v/>
      </c>
      <c r="O31" s="39">
        <f>IF('Revenue build'!O30=1,Assumptions!$F$34*(1+Assumptions!$F$35)^(O3-Assumptions!$F$33),0)</f>
        <v/>
      </c>
      <c r="P31" s="39">
        <f>IF('Revenue build'!P30=1,Assumptions!$F$34*(1+Assumptions!$F$35)^(P3-Assumptions!$F$33),0)</f>
        <v/>
      </c>
      <c r="Q31" s="39">
        <f>IF('Revenue build'!Q30=1,Assumptions!$F$34*(1+Assumptions!$F$35)^(Q3-Assumptions!$F$33),0)</f>
        <v/>
      </c>
      <c r="R31" s="39">
        <f>IF('Revenue build'!R30=1,Assumptions!$F$34*(1+Assumptions!$F$35)^(R3-Assumptions!$F$33),0)</f>
        <v/>
      </c>
      <c r="S31" s="39">
        <f>IF('Revenue build'!S30=1,Assumptions!$F$34*(1+Assumptions!$F$35)^(S3-Assumptions!$F$33),0)</f>
        <v/>
      </c>
      <c r="T31" s="39">
        <f>IF('Revenue build'!T30=1,Assumptions!$F$34*(1+Assumptions!$F$35)^(T3-Assumptions!$F$33),0)</f>
        <v/>
      </c>
      <c r="U31" s="39">
        <f>IF('Revenue build'!U30=1,Assumptions!$F$34*(1+Assumptions!$F$35)^(U3-Assumptions!$F$33),0)</f>
        <v/>
      </c>
      <c r="V31" s="39">
        <f>IF('Revenue build'!V30=1,Assumptions!$F$34*(1+Assumptions!$F$35)^(V3-Assumptions!$F$33),0)</f>
        <v/>
      </c>
      <c r="W31" s="39">
        <f>IF('Revenue build'!W30=1,Assumptions!$F$34*(1+Assumptions!$F$35)^(W3-Assumptions!$F$33),0)</f>
        <v/>
      </c>
      <c r="X31" s="39">
        <f>IF('Revenue build'!X30=1,Assumptions!$F$34*(1+Assumptions!$F$35)^(X3-Assumptions!$F$33),0)</f>
        <v/>
      </c>
      <c r="Y31" s="39">
        <f>IF('Revenue build'!Y30=1,Assumptions!$F$34*(1+Assumptions!$F$35)^(Y3-Assumptions!$F$33),0)</f>
        <v/>
      </c>
      <c r="Z31" s="39">
        <f>IF('Revenue build'!Z30=1,Assumptions!$F$34*(1+Assumptions!$F$35)^(Z3-Assumptions!$F$33),0)</f>
        <v/>
      </c>
      <c r="AA31" s="39">
        <f>IF('Revenue build'!AA30=1,Assumptions!$F$34*(1+Assumptions!$F$35)^(AA3-Assumptions!$F$33),0)</f>
        <v/>
      </c>
      <c r="AB31" s="39">
        <f>IF('Revenue build'!AB30=1,Assumptions!$F$34*(1+Assumptions!$F$35)^(AB3-Assumptions!$F$33),0)</f>
        <v/>
      </c>
      <c r="AC31" s="39">
        <f>IF('Revenue build'!AC30=1,Assumptions!$F$34*(1+Assumptions!$F$35)^(AC3-Assumptions!$F$33),0)</f>
        <v/>
      </c>
      <c r="AD31" s="39">
        <f>IF('Revenue build'!AD30=1,Assumptions!$F$34*(1+Assumptions!$F$35)^(AD3-Assumptions!$F$33),0)</f>
        <v/>
      </c>
      <c r="AE31" s="39">
        <f>IF('Revenue build'!AE30=1,Assumptions!$F$34*(1+Assumptions!$F$35)^(AE3-Assumptions!$F$33),0)</f>
        <v/>
      </c>
      <c r="AF31" s="39">
        <f>IF('Revenue build'!AF30=1,Assumptions!$F$34*(1+Assumptions!$F$35)^(AF3-Assumptions!$F$33),0)</f>
        <v/>
      </c>
      <c r="AG31" s="39">
        <f>IF('Revenue build'!AG30=1,Assumptions!$F$34*(1+Assumptions!$F$35)^(AG3-Assumptions!$F$33),0)</f>
        <v/>
      </c>
      <c r="AH31" s="39">
        <f>IF('Revenue build'!AH30=1,Assumptions!$F$34*(1+Assumptions!$F$35)^(AH3-Assumptions!$F$33),0)</f>
        <v/>
      </c>
      <c r="AI31" s="39">
        <f>IF('Revenue build'!AI30=1,Assumptions!$F$34*(1+Assumptions!$F$35)^(AI3-Assumptions!$F$33),0)</f>
        <v/>
      </c>
      <c r="AJ31" s="39">
        <f>IF('Revenue build'!AJ30=1,Assumptions!$F$34*(1+Assumptions!$F$35)^(AJ3-Assumptions!$F$33),0)</f>
        <v/>
      </c>
      <c r="AK31" s="39">
        <f>IF('Revenue build'!AK30=1,Assumptions!$F$34*(1+Assumptions!$F$35)^(AK3-Assumptions!$F$33),0)</f>
        <v/>
      </c>
      <c r="AL31" s="39">
        <f>IF('Revenue build'!AL30=1,Assumptions!$F$34*(1+Assumptions!$F$35)^(AL3-Assumptions!$F$33),0)</f>
        <v/>
      </c>
      <c r="AN31" s="39">
        <f>SUMIF($C$5:$AL$5,AN$5,C31:AL31)</f>
        <v/>
      </c>
      <c r="AO31" s="39">
        <f>SUMIF($C$5:$AL$5,AO$5,C31:AL31)</f>
        <v/>
      </c>
      <c r="AP31" s="39">
        <f>SUMIF($C$5:$AL$5,AP$5,C31:AL31)</f>
        <v/>
      </c>
      <c r="AQ31" s="39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39">
        <f>IF(AVERAGE(C28:C28)&gt;0,'Cash flow'!C25/AVERAGE(C28:C28),"cash-generative")</f>
        <v/>
      </c>
      <c r="D29" s="39">
        <f>IF(AVERAGE(C28:D28)&gt;0,'Cash flow'!D25/AVERAGE(C28:D28),"cash-generative")</f>
        <v/>
      </c>
      <c r="E29" s="39">
        <f>IF(AVERAGE(C28:E28)&gt;0,'Cash flow'!E25/AVERAGE(C28:E28),"cash-generative")</f>
        <v/>
      </c>
      <c r="F29" s="39">
        <f>IF(AVERAGE(D28:F28)&gt;0,'Cash flow'!F25/AVERAGE(D28:F28),"cash-generative")</f>
        <v/>
      </c>
      <c r="G29" s="39">
        <f>IF(AVERAGE(E28:G28)&gt;0,'Cash flow'!G25/AVERAGE(E28:G28),"cash-generative")</f>
        <v/>
      </c>
      <c r="H29" s="39">
        <f>IF(AVERAGE(F28:H28)&gt;0,'Cash flow'!H25/AVERAGE(F28:H28),"cash-generative")</f>
        <v/>
      </c>
      <c r="I29" s="39">
        <f>IF(AVERAGE(G28:I28)&gt;0,'Cash flow'!I25/AVERAGE(G28:I28),"cash-generative")</f>
        <v/>
      </c>
      <c r="J29" s="39">
        <f>IF(AVERAGE(H28:J28)&gt;0,'Cash flow'!J25/AVERAGE(H28:J28),"cash-generative")</f>
        <v/>
      </c>
      <c r="K29" s="39">
        <f>IF(AVERAGE(I28:K28)&gt;0,'Cash flow'!K25/AVERAGE(I28:K28),"cash-generative")</f>
        <v/>
      </c>
      <c r="L29" s="39">
        <f>IF(AVERAGE(J28:L28)&gt;0,'Cash flow'!L25/AVERAGE(J28:L28),"cash-generative")</f>
        <v/>
      </c>
      <c r="M29" s="39">
        <f>IF(AVERAGE(K28:M28)&gt;0,'Cash flow'!M25/AVERAGE(K28:M28),"cash-generative")</f>
        <v/>
      </c>
      <c r="N29" s="39">
        <f>IF(AVERAGE(L28:N28)&gt;0,'Cash flow'!N25/AVERAGE(L28:N28),"cash-generative")</f>
        <v/>
      </c>
      <c r="O29" s="39">
        <f>IF(AVERAGE(M28:O28)&gt;0,'Cash flow'!O25/AVERAGE(M28:O28),"cash-generative")</f>
        <v/>
      </c>
      <c r="P29" s="39">
        <f>IF(AVERAGE(N28:P28)&gt;0,'Cash flow'!P25/AVERAGE(N28:P28),"cash-generative")</f>
        <v/>
      </c>
      <c r="Q29" s="39">
        <f>IF(AVERAGE(O28:Q28)&gt;0,'Cash flow'!Q25/AVERAGE(O28:Q28),"cash-generative")</f>
        <v/>
      </c>
      <c r="R29" s="39">
        <f>IF(AVERAGE(P28:R28)&gt;0,'Cash flow'!R25/AVERAGE(P28:R28),"cash-generative")</f>
        <v/>
      </c>
      <c r="S29" s="39">
        <f>IF(AVERAGE(Q28:S28)&gt;0,'Cash flow'!S25/AVERAGE(Q28:S28),"cash-generative")</f>
        <v/>
      </c>
      <c r="T29" s="39">
        <f>IF(AVERAGE(R28:T28)&gt;0,'Cash flow'!T25/AVERAGE(R28:T28),"cash-generative")</f>
        <v/>
      </c>
      <c r="U29" s="39">
        <f>IF(AVERAGE(S28:U28)&gt;0,'Cash flow'!U25/AVERAGE(S28:U28),"cash-generative")</f>
        <v/>
      </c>
      <c r="V29" s="39">
        <f>IF(AVERAGE(T28:V28)&gt;0,'Cash flow'!V25/AVERAGE(T28:V28),"cash-generative")</f>
        <v/>
      </c>
      <c r="W29" s="39">
        <f>IF(AVERAGE(U28:W28)&gt;0,'Cash flow'!W25/AVERAGE(U28:W28),"cash-generative")</f>
        <v/>
      </c>
      <c r="X29" s="39">
        <f>IF(AVERAGE(V28:X28)&gt;0,'Cash flow'!X25/AVERAGE(V28:X28),"cash-generative")</f>
        <v/>
      </c>
      <c r="Y29" s="39">
        <f>IF(AVERAGE(W28:Y28)&gt;0,'Cash flow'!Y25/AVERAGE(W28:Y28),"cash-generative")</f>
        <v/>
      </c>
      <c r="Z29" s="39">
        <f>IF(AVERAGE(X28:Z28)&gt;0,'Cash flow'!Z25/AVERAGE(X28:Z28),"cash-generative")</f>
        <v/>
      </c>
      <c r="AA29" s="39">
        <f>IF(AVERAGE(Y28:AA28)&gt;0,'Cash flow'!AA25/AVERAGE(Y28:AA28),"cash-generative")</f>
        <v/>
      </c>
      <c r="AB29" s="39">
        <f>IF(AVERAGE(Z28:AB28)&gt;0,'Cash flow'!AB25/AVERAGE(Z28:AB28),"cash-generative")</f>
        <v/>
      </c>
      <c r="AC29" s="39">
        <f>IF(AVERAGE(AA28:AC28)&gt;0,'Cash flow'!AC25/AVERAGE(AA28:AC28),"cash-generative")</f>
        <v/>
      </c>
      <c r="AD29" s="39">
        <f>IF(AVERAGE(AB28:AD28)&gt;0,'Cash flow'!AD25/AVERAGE(AB28:AD28),"cash-generative")</f>
        <v/>
      </c>
      <c r="AE29" s="39">
        <f>IF(AVERAGE(AC28:AE28)&gt;0,'Cash flow'!AE25/AVERAGE(AC28:AE28),"cash-generative")</f>
        <v/>
      </c>
      <c r="AF29" s="39">
        <f>IF(AVERAGE(AD28:AF28)&gt;0,'Cash flow'!AF25/AVERAGE(AD28:AF28),"cash-generative")</f>
        <v/>
      </c>
      <c r="AG29" s="39">
        <f>IF(AVERAGE(AE28:AG28)&gt;0,'Cash flow'!AG25/AVERAGE(AE28:AG28),"cash-generative")</f>
        <v/>
      </c>
      <c r="AH29" s="39">
        <f>IF(AVERAGE(AF28:AH28)&gt;0,'Cash flow'!AH25/AVERAGE(AF28:AH28),"cash-generative")</f>
        <v/>
      </c>
      <c r="AI29" s="39">
        <f>IF(AVERAGE(AG28:AI28)&gt;0,'Cash flow'!AI25/AVERAGE(AG28:AI28),"cash-generative")</f>
        <v/>
      </c>
      <c r="AJ29" s="39">
        <f>IF(AVERAGE(AH28:AJ28)&gt;0,'Cash flow'!AJ25/AVERAGE(AH28:AJ28),"cash-generative")</f>
        <v/>
      </c>
      <c r="AK29" s="39">
        <f>IF(AVERAGE(AI28:AK28)&gt;0,'Cash flow'!AK25/AVERAGE(AI28:AK28),"cash-generative")</f>
        <v/>
      </c>
      <c r="AL29" s="39">
        <f>IF(AVERAGE(AJ28:AL28)&gt;0,'Cash flow'!AL25/AVERAGE(AJ28:AL28),"cash-generative")</f>
        <v/>
      </c>
      <c r="AN29" s="39">
        <f>INDEX(C29:AL29,1,12)</f>
        <v/>
      </c>
      <c r="AO29" s="39">
        <f>INDEX(C29:AL29,1,24)</f>
        <v/>
      </c>
      <c r="AP29" s="39">
        <f>INDEX(C29:AL29,1,36)</f>
        <v/>
      </c>
      <c r="AQ29" s="39">
        <f>INDEX(C29:AL29,1,36)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8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40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40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8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40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40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40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2026-09-08T07:07:40Z</dcterms:created>
  <dcterms:modified xmlns:dcterms="http://purl.org/dc/terms/" xmlns:xsi="http://www.w3.org/2001/XMLSchema-instance" xsi:type="dcterms:W3CDTF">2026-09-08T14:23:06Z</dcterms:modified>
</cp:coreProperties>
</file>